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e56b9ef4ca82ce/Documents/Healthcare/World Bank Group/2024-06 Buildable Digital Health Blueprint Toolkit/"/>
    </mc:Choice>
  </mc:AlternateContent>
  <xr:revisionPtr revIDLastSave="580" documentId="8_{29439B94-7F60-4F6D-8BA4-6B605E72DA94}" xr6:coauthVersionLast="47" xr6:coauthVersionMax="47" xr10:uidLastSave="{372BC0D1-92B2-4704-A58A-8DB32A29089A}"/>
  <bookViews>
    <workbookView xWindow="28680" yWindow="1680" windowWidth="29040" windowHeight="15720" tabRatio="656" xr2:uid="{00000000-000D-0000-FFFF-FFFF00000000}"/>
  </bookViews>
  <sheets>
    <sheet name="Summary" sheetId="9" r:id="rId1"/>
    <sheet name="Governance" sheetId="14" r:id="rId2"/>
    <sheet name="Datacentre" sheetId="1" r:id="rId3"/>
    <sheet name="CR" sheetId="2" r:id="rId4"/>
    <sheet name="ILR-FR" sheetId="4" r:id="rId5"/>
    <sheet name="ILR-HWR" sheetId="3" r:id="rId6"/>
    <sheet name="SHR" sheetId="6" r:id="rId7"/>
    <sheet name="TS" sheetId="7" r:id="rId8"/>
    <sheet name="HMIS" sheetId="8" r:id="rId9"/>
    <sheet name="HRH Capacity" sheetId="19" r:id="rId10"/>
    <sheet name="CUA" sheetId="12" r:id="rId11"/>
    <sheet name="Ratio CET to Cost-per-QALY" sheetId="1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9" l="1"/>
  <c r="L25" i="19"/>
  <c r="M18" i="8"/>
  <c r="L18" i="8"/>
  <c r="M18" i="7"/>
  <c r="L18" i="7"/>
  <c r="N53" i="6"/>
  <c r="M53" i="6"/>
  <c r="M18" i="3"/>
  <c r="L18" i="3"/>
  <c r="M18" i="4"/>
  <c r="L18" i="4"/>
  <c r="P35" i="14"/>
  <c r="O35" i="14"/>
  <c r="N35" i="14"/>
  <c r="M35" i="14"/>
  <c r="L35" i="14"/>
  <c r="K35" i="14"/>
  <c r="J35" i="14"/>
  <c r="I35" i="14"/>
  <c r="H35" i="14"/>
  <c r="G35" i="14"/>
  <c r="E20" i="14"/>
  <c r="E19" i="14"/>
  <c r="E21" i="14" s="1"/>
  <c r="E18" i="14"/>
  <c r="F21" i="14" l="1"/>
  <c r="B6" i="19" l="1"/>
  <c r="B23" i="19"/>
  <c r="B19" i="19"/>
  <c r="B24" i="19" s="1"/>
  <c r="B28" i="1"/>
  <c r="E28" i="1" s="1"/>
  <c r="E16" i="1"/>
  <c r="B1" i="12"/>
  <c r="B13" i="12" s="1"/>
  <c r="E23" i="2"/>
  <c r="D23" i="2"/>
  <c r="C23" i="2"/>
  <c r="K23" i="19" l="1"/>
  <c r="C23" i="19"/>
  <c r="J23" i="19"/>
  <c r="D23" i="19"/>
  <c r="I23" i="19"/>
  <c r="H23" i="19"/>
  <c r="G23" i="19"/>
  <c r="F23" i="19"/>
  <c r="E23" i="19"/>
  <c r="F18" i="12"/>
  <c r="F9" i="12"/>
  <c r="F10" i="12"/>
  <c r="F23" i="2"/>
  <c r="B25" i="2"/>
  <c r="B22" i="19"/>
  <c r="D17" i="12"/>
  <c r="E17" i="12"/>
  <c r="F17" i="12"/>
  <c r="B18" i="12"/>
  <c r="D10" i="12"/>
  <c r="B12" i="12"/>
  <c r="C15" i="12"/>
  <c r="F16" i="12"/>
  <c r="B9" i="12"/>
  <c r="E10" i="12"/>
  <c r="C12" i="12"/>
  <c r="F13" i="12"/>
  <c r="D15" i="12"/>
  <c r="B17" i="12"/>
  <c r="D12" i="12"/>
  <c r="B14" i="12"/>
  <c r="E15" i="12"/>
  <c r="C17" i="12"/>
  <c r="D9" i="12"/>
  <c r="B11" i="12"/>
  <c r="E12" i="12"/>
  <c r="C14" i="12"/>
  <c r="F15" i="12"/>
  <c r="E9" i="12"/>
  <c r="C11" i="12"/>
  <c r="F12" i="12"/>
  <c r="D14" i="12"/>
  <c r="B16" i="12"/>
  <c r="D11" i="12"/>
  <c r="E14" i="12"/>
  <c r="C16" i="12"/>
  <c r="B10" i="12"/>
  <c r="E11" i="12"/>
  <c r="C13" i="12"/>
  <c r="F14" i="12"/>
  <c r="D16" i="12"/>
  <c r="C10" i="12"/>
  <c r="F11" i="12"/>
  <c r="D13" i="12"/>
  <c r="B15" i="12"/>
  <c r="E16" i="12"/>
  <c r="C18" i="12"/>
  <c r="D18" i="12"/>
  <c r="E18" i="12"/>
  <c r="E13" i="12"/>
  <c r="C9" i="12"/>
  <c r="G9" i="12" l="1"/>
  <c r="H9" i="12" s="1"/>
  <c r="G10" i="12"/>
  <c r="H10" i="12" l="1"/>
  <c r="C19" i="19"/>
  <c r="C24" i="19" s="1"/>
  <c r="B2" i="14"/>
  <c r="J21" i="14" l="1"/>
  <c r="G21" i="14"/>
  <c r="L21" i="14"/>
  <c r="K21" i="14"/>
  <c r="O21" i="14"/>
  <c r="I21" i="14"/>
  <c r="N21" i="14"/>
  <c r="H21" i="14"/>
  <c r="P21" i="14"/>
  <c r="M21" i="14"/>
  <c r="D19" i="19"/>
  <c r="D24" i="19" s="1"/>
  <c r="G5" i="12"/>
  <c r="F19" i="12"/>
  <c r="E32" i="14"/>
  <c r="E31" i="14"/>
  <c r="E30" i="14"/>
  <c r="E26" i="14"/>
  <c r="E25" i="14"/>
  <c r="E24" i="14"/>
  <c r="E8" i="14"/>
  <c r="E14" i="14"/>
  <c r="E13" i="14"/>
  <c r="E12" i="14"/>
  <c r="E7" i="14"/>
  <c r="E6" i="14"/>
  <c r="Q21" i="14" l="1"/>
  <c r="E19" i="19"/>
  <c r="E24" i="19" s="1"/>
  <c r="E33" i="14"/>
  <c r="E9" i="14"/>
  <c r="I9" i="14" s="1"/>
  <c r="E15" i="14"/>
  <c r="E27" i="14"/>
  <c r="F19" i="19" l="1"/>
  <c r="F24" i="19" s="1"/>
  <c r="N9" i="14"/>
  <c r="G9" i="14"/>
  <c r="H9" i="14"/>
  <c r="L9" i="14"/>
  <c r="M9" i="14"/>
  <c r="F9" i="14"/>
  <c r="K9" i="14"/>
  <c r="P9" i="14"/>
  <c r="J9" i="14"/>
  <c r="O9" i="14"/>
  <c r="C22" i="12"/>
  <c r="B22" i="12"/>
  <c r="B23" i="12" s="1"/>
  <c r="K33" i="14"/>
  <c r="P33" i="14"/>
  <c r="J33" i="14"/>
  <c r="O33" i="14"/>
  <c r="I33" i="14"/>
  <c r="H33" i="14"/>
  <c r="M33" i="14"/>
  <c r="N33" i="14"/>
  <c r="L33" i="14"/>
  <c r="G33" i="14"/>
  <c r="F33" i="14"/>
  <c r="P27" i="14"/>
  <c r="L27" i="14"/>
  <c r="H27" i="14"/>
  <c r="O27" i="14"/>
  <c r="K27" i="14"/>
  <c r="N27" i="14"/>
  <c r="J27" i="14"/>
  <c r="G27" i="14"/>
  <c r="M27" i="14"/>
  <c r="I27" i="14"/>
  <c r="F15" i="14"/>
  <c r="P15" i="14"/>
  <c r="L15" i="14"/>
  <c r="H15" i="14"/>
  <c r="O15" i="14"/>
  <c r="K15" i="14"/>
  <c r="N15" i="14"/>
  <c r="J15" i="14"/>
  <c r="G15" i="14"/>
  <c r="M15" i="14"/>
  <c r="I15" i="14"/>
  <c r="F27" i="14"/>
  <c r="E15" i="9" l="1"/>
  <c r="I15" i="9"/>
  <c r="K15" i="9"/>
  <c r="F38" i="14"/>
  <c r="G19" i="19"/>
  <c r="B12" i="9"/>
  <c r="Q9" i="14"/>
  <c r="C23" i="12"/>
  <c r="G11" i="12"/>
  <c r="D22" i="12" s="1"/>
  <c r="Q15" i="14"/>
  <c r="Q27" i="14"/>
  <c r="Q33" i="14"/>
  <c r="H15" i="9"/>
  <c r="D15" i="9"/>
  <c r="C15" i="9"/>
  <c r="G15" i="9"/>
  <c r="J15" i="9"/>
  <c r="F15" i="9"/>
  <c r="H19" i="19" l="1"/>
  <c r="H24" i="19" s="1"/>
  <c r="G24" i="19"/>
  <c r="D23" i="12"/>
  <c r="H11" i="12"/>
  <c r="G12" i="12"/>
  <c r="B15" i="9"/>
  <c r="L15" i="9" s="1"/>
  <c r="G36" i="14"/>
  <c r="H36" i="14" s="1"/>
  <c r="I36" i="14" s="1"/>
  <c r="J36" i="14" s="1"/>
  <c r="K36" i="14" s="1"/>
  <c r="L36" i="14" s="1"/>
  <c r="M36" i="14" s="1"/>
  <c r="N36" i="14" s="1"/>
  <c r="O36" i="14" s="1"/>
  <c r="P36" i="14" s="1"/>
  <c r="Q35" i="14"/>
  <c r="R21" i="14" s="1"/>
  <c r="I19" i="19" l="1"/>
  <c r="I24" i="19" s="1"/>
  <c r="H12" i="12"/>
  <c r="E22" i="12"/>
  <c r="E23" i="12" s="1"/>
  <c r="G13" i="12"/>
  <c r="F22" i="12" s="1"/>
  <c r="R15" i="14"/>
  <c r="R33" i="14"/>
  <c r="R27" i="14"/>
  <c r="R9" i="14"/>
  <c r="L23" i="19" l="1"/>
  <c r="J19" i="19"/>
  <c r="J24" i="19" s="1"/>
  <c r="F23" i="12"/>
  <c r="H13" i="12"/>
  <c r="G14" i="12"/>
  <c r="R35" i="14"/>
  <c r="K19" i="19" l="1"/>
  <c r="K24" i="19" s="1"/>
  <c r="H14" i="12"/>
  <c r="G22" i="12"/>
  <c r="G23" i="12" s="1"/>
  <c r="G15" i="12"/>
  <c r="H22" i="12" s="1"/>
  <c r="L24" i="19" l="1"/>
  <c r="H15" i="12"/>
  <c r="H23" i="12"/>
  <c r="G16" i="12"/>
  <c r="C19" i="12" l="1"/>
  <c r="E19" i="12"/>
  <c r="H16" i="12"/>
  <c r="D19" i="12"/>
  <c r="I22" i="12"/>
  <c r="I23" i="12" s="1"/>
  <c r="G17" i="12"/>
  <c r="J22" i="12" s="1"/>
  <c r="J23" i="12" l="1"/>
  <c r="H17" i="12"/>
  <c r="G18" i="12"/>
  <c r="K22" i="12" s="1"/>
  <c r="B19" i="12"/>
  <c r="G19" i="12" s="1"/>
  <c r="K23" i="12" l="1"/>
  <c r="H18" i="12"/>
  <c r="F10" i="6"/>
  <c r="E10" i="6"/>
  <c r="D10" i="6"/>
  <c r="C10" i="6"/>
  <c r="B5" i="9"/>
  <c r="F4" i="9" l="1"/>
  <c r="B8" i="4"/>
  <c r="C16" i="6"/>
  <c r="C12" i="6"/>
  <c r="D16" i="6"/>
  <c r="D12" i="6"/>
  <c r="E16" i="6"/>
  <c r="E12" i="6"/>
  <c r="F16" i="6"/>
  <c r="F12" i="6"/>
  <c r="C4" i="9"/>
  <c r="D4" i="9"/>
  <c r="E4" i="9"/>
  <c r="K32" i="9"/>
  <c r="J32" i="9"/>
  <c r="I32" i="9"/>
  <c r="H32" i="9"/>
  <c r="G32" i="9"/>
  <c r="F32" i="9"/>
  <c r="E32" i="9"/>
  <c r="D32" i="9"/>
  <c r="C32" i="9"/>
  <c r="B32" i="9"/>
  <c r="L32" i="9" l="1"/>
  <c r="E9" i="6"/>
  <c r="D9" i="6"/>
  <c r="C9" i="6"/>
  <c r="B9" i="3"/>
  <c r="B8" i="3"/>
  <c r="B3" i="2"/>
  <c r="B2" i="2"/>
  <c r="B24" i="2" s="1"/>
  <c r="B9" i="4"/>
  <c r="B9" i="8" s="1"/>
  <c r="B6" i="8"/>
  <c r="B6" i="7"/>
  <c r="B6" i="6"/>
  <c r="B6" i="3"/>
  <c r="B6" i="4"/>
  <c r="B14" i="2"/>
  <c r="B6" i="1"/>
  <c r="B17" i="8"/>
  <c r="B8" i="7"/>
  <c r="B14" i="7" s="1"/>
  <c r="B15" i="7" s="1"/>
  <c r="B16" i="7" s="1"/>
  <c r="B17" i="7"/>
  <c r="J17" i="4" l="1"/>
  <c r="K17" i="4"/>
  <c r="I17" i="4"/>
  <c r="D17" i="4"/>
  <c r="H17" i="4"/>
  <c r="G17" i="4"/>
  <c r="F17" i="4"/>
  <c r="C17" i="4"/>
  <c r="L17" i="4" s="1"/>
  <c r="E17" i="4"/>
  <c r="C48" i="6"/>
  <c r="J48" i="6"/>
  <c r="J17" i="7"/>
  <c r="C17" i="7"/>
  <c r="I17" i="7"/>
  <c r="H17" i="7"/>
  <c r="G17" i="7"/>
  <c r="F17" i="7"/>
  <c r="K17" i="7"/>
  <c r="E17" i="7"/>
  <c r="D17" i="7"/>
  <c r="K17" i="8"/>
  <c r="C17" i="8"/>
  <c r="G17" i="8"/>
  <c r="J17" i="8"/>
  <c r="D17" i="8"/>
  <c r="I17" i="8"/>
  <c r="H17" i="8"/>
  <c r="F17" i="8"/>
  <c r="E17" i="8"/>
  <c r="F17" i="3"/>
  <c r="E17" i="3"/>
  <c r="J17" i="3"/>
  <c r="D17" i="3"/>
  <c r="H17" i="3"/>
  <c r="K17" i="3"/>
  <c r="C17" i="3"/>
  <c r="G17" i="3"/>
  <c r="I17" i="3"/>
  <c r="C25" i="2"/>
  <c r="E25" i="2"/>
  <c r="K25" i="2"/>
  <c r="J25" i="2"/>
  <c r="I25" i="2"/>
  <c r="D25" i="2"/>
  <c r="H25" i="2"/>
  <c r="G25" i="2"/>
  <c r="F25" i="2"/>
  <c r="J20" i="2"/>
  <c r="J21" i="2" s="1"/>
  <c r="B20" i="2"/>
  <c r="B21" i="2" s="1"/>
  <c r="B22" i="2" s="1"/>
  <c r="B26" i="2" s="1"/>
  <c r="B27" i="2" s="1"/>
  <c r="I20" i="2"/>
  <c r="I21" i="2" s="1"/>
  <c r="H20" i="2"/>
  <c r="H21" i="2" s="1"/>
  <c r="E20" i="2"/>
  <c r="E21" i="2" s="1"/>
  <c r="G20" i="2"/>
  <c r="G21" i="2" s="1"/>
  <c r="F20" i="2"/>
  <c r="F21" i="2" s="1"/>
  <c r="D20" i="2"/>
  <c r="D21" i="2" s="1"/>
  <c r="K20" i="2"/>
  <c r="K21" i="2" s="1"/>
  <c r="C20" i="2"/>
  <c r="C21" i="2" s="1"/>
  <c r="B18" i="7"/>
  <c r="C14" i="7"/>
  <c r="B48" i="6"/>
  <c r="G48" i="6" s="1"/>
  <c r="F9" i="6"/>
  <c r="B17" i="4"/>
  <c r="B17" i="3"/>
  <c r="B14" i="3"/>
  <c r="L17" i="8" l="1"/>
  <c r="I48" i="6"/>
  <c r="K48" i="6"/>
  <c r="E48" i="6"/>
  <c r="H48" i="6"/>
  <c r="F48" i="6"/>
  <c r="D48" i="6"/>
  <c r="M48" i="6" s="1"/>
  <c r="K22" i="2"/>
  <c r="K24" i="2" s="1"/>
  <c r="C22" i="2"/>
  <c r="L17" i="3"/>
  <c r="L17" i="7"/>
  <c r="C24" i="2"/>
  <c r="C26" i="2" s="1"/>
  <c r="C27" i="2" s="1"/>
  <c r="E22" i="2"/>
  <c r="L25" i="2"/>
  <c r="F22" i="2"/>
  <c r="D22" i="2"/>
  <c r="G22" i="2"/>
  <c r="G24" i="2" s="1"/>
  <c r="H22" i="2"/>
  <c r="H24" i="2" s="1"/>
  <c r="I22" i="2"/>
  <c r="I24" i="2" s="1"/>
  <c r="J22" i="2"/>
  <c r="J24" i="2" s="1"/>
  <c r="C14" i="3"/>
  <c r="D14" i="3" s="1"/>
  <c r="D15" i="19" s="1"/>
  <c r="D21" i="19" s="1"/>
  <c r="B15" i="19"/>
  <c r="B19" i="7"/>
  <c r="B21" i="9"/>
  <c r="C15" i="7"/>
  <c r="C16" i="7" s="1"/>
  <c r="D14" i="7"/>
  <c r="B15" i="3"/>
  <c r="B16" i="3" s="1"/>
  <c r="B18" i="3" s="1"/>
  <c r="D30" i="1"/>
  <c r="C30" i="1"/>
  <c r="E29" i="1"/>
  <c r="B27" i="1"/>
  <c r="E27" i="1" s="1"/>
  <c r="B26" i="1"/>
  <c r="E26" i="1" s="1"/>
  <c r="B25" i="1"/>
  <c r="E25" i="1" s="1"/>
  <c r="B24" i="1"/>
  <c r="E24" i="1" s="1"/>
  <c r="B23" i="1"/>
  <c r="E23" i="1" s="1"/>
  <c r="B22" i="1"/>
  <c r="E22" i="1" s="1"/>
  <c r="E17" i="1"/>
  <c r="E15" i="1"/>
  <c r="E14" i="1"/>
  <c r="E13" i="1"/>
  <c r="E12" i="1"/>
  <c r="E11" i="1"/>
  <c r="E10" i="1"/>
  <c r="D18" i="1"/>
  <c r="C18" i="1"/>
  <c r="B18" i="1"/>
  <c r="C18" i="7" l="1"/>
  <c r="D24" i="2"/>
  <c r="D26" i="2"/>
  <c r="D27" i="2" s="1"/>
  <c r="F24" i="2"/>
  <c r="F26" i="2" s="1"/>
  <c r="F27" i="2" s="1"/>
  <c r="E24" i="2"/>
  <c r="E26" i="2" s="1"/>
  <c r="E27" i="2" s="1"/>
  <c r="B21" i="19"/>
  <c r="C16" i="19"/>
  <c r="C22" i="19" s="1"/>
  <c r="C15" i="3"/>
  <c r="C15" i="19"/>
  <c r="C21" i="19" s="1"/>
  <c r="L48" i="6"/>
  <c r="B19" i="3"/>
  <c r="B19" i="9"/>
  <c r="C19" i="7"/>
  <c r="C21" i="9"/>
  <c r="E14" i="7"/>
  <c r="D15" i="7"/>
  <c r="D16" i="7" s="1"/>
  <c r="D18" i="7" s="1"/>
  <c r="E14" i="3"/>
  <c r="E15" i="19" s="1"/>
  <c r="E21" i="19" s="1"/>
  <c r="D15" i="3"/>
  <c r="G23" i="2"/>
  <c r="G26" i="2" s="1"/>
  <c r="G27" i="2" s="1"/>
  <c r="I23" i="2"/>
  <c r="I26" i="2" s="1"/>
  <c r="I27" i="2" s="1"/>
  <c r="H23" i="2"/>
  <c r="H26" i="2" s="1"/>
  <c r="H27" i="2" s="1"/>
  <c r="E30" i="1"/>
  <c r="B30" i="1"/>
  <c r="E18" i="1"/>
  <c r="C25" i="19" l="1"/>
  <c r="C16" i="3"/>
  <c r="D16" i="3"/>
  <c r="D18" i="3" s="1"/>
  <c r="D19" i="9" s="1"/>
  <c r="K23" i="2"/>
  <c r="K26" i="2" s="1"/>
  <c r="K27" i="2" s="1"/>
  <c r="J23" i="2"/>
  <c r="J26" i="2" s="1"/>
  <c r="J27" i="2" s="1"/>
  <c r="L27" i="2" s="1"/>
  <c r="B25" i="19"/>
  <c r="B26" i="19" s="1"/>
  <c r="D16" i="19"/>
  <c r="D22" i="19" s="1"/>
  <c r="D25" i="19" s="1"/>
  <c r="F17" i="9"/>
  <c r="E17" i="9"/>
  <c r="B17" i="9"/>
  <c r="G17" i="9"/>
  <c r="C17" i="9"/>
  <c r="H17" i="9"/>
  <c r="D17" i="9"/>
  <c r="I17" i="9"/>
  <c r="B33" i="1"/>
  <c r="D19" i="7"/>
  <c r="D21" i="9"/>
  <c r="E15" i="7"/>
  <c r="E16" i="7" s="1"/>
  <c r="E18" i="7" s="1"/>
  <c r="F14" i="7"/>
  <c r="I33" i="1"/>
  <c r="I16" i="9" s="1"/>
  <c r="E33" i="1"/>
  <c r="E16" i="9" s="1"/>
  <c r="H33" i="1"/>
  <c r="H16" i="9" s="1"/>
  <c r="D33" i="1"/>
  <c r="D16" i="9" s="1"/>
  <c r="K33" i="1"/>
  <c r="K16" i="9" s="1"/>
  <c r="G33" i="1"/>
  <c r="G16" i="9" s="1"/>
  <c r="C33" i="1"/>
  <c r="J33" i="1"/>
  <c r="J16" i="9" s="1"/>
  <c r="F33" i="1"/>
  <c r="F16" i="9" s="1"/>
  <c r="F14" i="3"/>
  <c r="F15" i="19" s="1"/>
  <c r="F21" i="19" s="1"/>
  <c r="E15" i="3"/>
  <c r="E16" i="3" l="1"/>
  <c r="E18" i="3" s="1"/>
  <c r="E19" i="9" s="1"/>
  <c r="C18" i="3"/>
  <c r="L26" i="2"/>
  <c r="J17" i="9"/>
  <c r="K17" i="9"/>
  <c r="B23" i="9"/>
  <c r="C26" i="19"/>
  <c r="E16" i="19"/>
  <c r="E22" i="19" s="1"/>
  <c r="E25" i="19" s="1"/>
  <c r="B28" i="2"/>
  <c r="C28" i="2" s="1"/>
  <c r="D28" i="2" s="1"/>
  <c r="E28" i="2" s="1"/>
  <c r="F28" i="2" s="1"/>
  <c r="G28" i="2" s="1"/>
  <c r="H28" i="2" s="1"/>
  <c r="I28" i="2" s="1"/>
  <c r="B34" i="1"/>
  <c r="C34" i="1" s="1"/>
  <c r="D34" i="1" s="1"/>
  <c r="E34" i="1" s="1"/>
  <c r="F34" i="1" s="1"/>
  <c r="G34" i="1" s="1"/>
  <c r="H34" i="1" s="1"/>
  <c r="I34" i="1" s="1"/>
  <c r="J34" i="1" s="1"/>
  <c r="K34" i="1" s="1"/>
  <c r="B16" i="9"/>
  <c r="E19" i="7"/>
  <c r="E21" i="9"/>
  <c r="C16" i="9"/>
  <c r="F15" i="7"/>
  <c r="F16" i="7" s="1"/>
  <c r="F18" i="7" s="1"/>
  <c r="G14" i="7"/>
  <c r="G14" i="3"/>
  <c r="G15" i="19" s="1"/>
  <c r="G21" i="19" s="1"/>
  <c r="F15" i="3"/>
  <c r="C19" i="9" l="1"/>
  <c r="C19" i="3"/>
  <c r="D19" i="3" s="1"/>
  <c r="E19" i="3" s="1"/>
  <c r="F16" i="3"/>
  <c r="L17" i="9"/>
  <c r="J28" i="2"/>
  <c r="K28" i="2" s="1"/>
  <c r="C23" i="9"/>
  <c r="D26" i="19"/>
  <c r="D23" i="9"/>
  <c r="F16" i="19"/>
  <c r="F22" i="19" s="1"/>
  <c r="F25" i="19" s="1"/>
  <c r="L16" i="9"/>
  <c r="F19" i="7"/>
  <c r="F21" i="9"/>
  <c r="G15" i="7"/>
  <c r="G16" i="7" s="1"/>
  <c r="G18" i="7" s="1"/>
  <c r="H14" i="7"/>
  <c r="H14" i="3"/>
  <c r="H15" i="19" s="1"/>
  <c r="H21" i="19" s="1"/>
  <c r="G15" i="3"/>
  <c r="G16" i="3" l="1"/>
  <c r="G18" i="3" s="1"/>
  <c r="G19" i="9" s="1"/>
  <c r="F18" i="3"/>
  <c r="M25" i="2"/>
  <c r="M26" i="2"/>
  <c r="E26" i="19"/>
  <c r="E23" i="9"/>
  <c r="G16" i="19"/>
  <c r="G22" i="19" s="1"/>
  <c r="G25" i="19" s="1"/>
  <c r="G19" i="7"/>
  <c r="G21" i="9"/>
  <c r="I14" i="7"/>
  <c r="H15" i="7"/>
  <c r="H16" i="7" s="1"/>
  <c r="H18" i="7" s="1"/>
  <c r="I14" i="3"/>
  <c r="I15" i="19" s="1"/>
  <c r="I21" i="19" s="1"/>
  <c r="H15" i="3"/>
  <c r="M27" i="2" l="1"/>
  <c r="F19" i="3"/>
  <c r="G19" i="3" s="1"/>
  <c r="F19" i="9"/>
  <c r="H16" i="3"/>
  <c r="H18" i="3" s="1"/>
  <c r="H19" i="9" s="1"/>
  <c r="F26" i="19"/>
  <c r="F23" i="9"/>
  <c r="H16" i="19"/>
  <c r="H22" i="19" s="1"/>
  <c r="H25" i="19" s="1"/>
  <c r="H19" i="7"/>
  <c r="H21" i="9"/>
  <c r="J14" i="7"/>
  <c r="I15" i="7"/>
  <c r="I16" i="7" s="1"/>
  <c r="I18" i="7" s="1"/>
  <c r="J14" i="3"/>
  <c r="J15" i="19" s="1"/>
  <c r="J21" i="19" s="1"/>
  <c r="I15" i="3"/>
  <c r="H19" i="3" l="1"/>
  <c r="I16" i="3"/>
  <c r="I18" i="3" s="1"/>
  <c r="I19" i="9" s="1"/>
  <c r="G26" i="19"/>
  <c r="G23" i="9"/>
  <c r="I16" i="19"/>
  <c r="I22" i="19" s="1"/>
  <c r="I25" i="19" s="1"/>
  <c r="I19" i="7"/>
  <c r="I21" i="9"/>
  <c r="J15" i="7"/>
  <c r="J16" i="7" s="1"/>
  <c r="J18" i="7" s="1"/>
  <c r="K14" i="7"/>
  <c r="K15" i="7" s="1"/>
  <c r="K14" i="3"/>
  <c r="J15" i="3"/>
  <c r="K16" i="7" l="1"/>
  <c r="I19" i="3"/>
  <c r="J16" i="3"/>
  <c r="H26" i="19"/>
  <c r="H23" i="9"/>
  <c r="K15" i="3"/>
  <c r="K15" i="19"/>
  <c r="J16" i="19"/>
  <c r="J22" i="19" s="1"/>
  <c r="J25" i="19" s="1"/>
  <c r="J19" i="7"/>
  <c r="J21" i="9"/>
  <c r="B8" i="6"/>
  <c r="K18" i="7" l="1"/>
  <c r="K21" i="9" s="1"/>
  <c r="L21" i="9" s="1"/>
  <c r="L16" i="7"/>
  <c r="K21" i="19"/>
  <c r="L21" i="19" s="1"/>
  <c r="K16" i="3"/>
  <c r="K18" i="3" s="1"/>
  <c r="K19" i="9" s="1"/>
  <c r="J18" i="3"/>
  <c r="I26" i="19"/>
  <c r="I23" i="9"/>
  <c r="K16" i="19"/>
  <c r="K22" i="19" s="1"/>
  <c r="B14" i="4"/>
  <c r="B8" i="8"/>
  <c r="B14" i="8" s="1"/>
  <c r="K19" i="7" l="1"/>
  <c r="L16" i="3"/>
  <c r="K25" i="19"/>
  <c r="K23" i="9" s="1"/>
  <c r="J19" i="9"/>
  <c r="L19" i="9" s="1"/>
  <c r="J19" i="3"/>
  <c r="K19" i="3" s="1"/>
  <c r="M17" i="3" s="1"/>
  <c r="L22" i="19"/>
  <c r="J26" i="19"/>
  <c r="J23" i="9"/>
  <c r="B15" i="8"/>
  <c r="B16" i="8" s="1"/>
  <c r="C14" i="8"/>
  <c r="C14" i="4"/>
  <c r="B15" i="4"/>
  <c r="B16" i="4" s="1"/>
  <c r="B22" i="6"/>
  <c r="M16" i="7" l="1"/>
  <c r="M17" i="7"/>
  <c r="B18" i="4"/>
  <c r="B18" i="9" s="1"/>
  <c r="B18" i="8"/>
  <c r="M16" i="3"/>
  <c r="K26" i="19"/>
  <c r="M24" i="19" s="1"/>
  <c r="B41" i="6"/>
  <c r="B42" i="6" s="1"/>
  <c r="B43" i="6" s="1"/>
  <c r="B35" i="6"/>
  <c r="B36" i="6" s="1"/>
  <c r="B37" i="6" s="1"/>
  <c r="B29" i="6"/>
  <c r="B30" i="6" s="1"/>
  <c r="B31" i="6" s="1"/>
  <c r="B23" i="6"/>
  <c r="B24" i="6" s="1"/>
  <c r="B25" i="6" s="1"/>
  <c r="L23" i="9"/>
  <c r="B19" i="4"/>
  <c r="C22" i="6"/>
  <c r="D14" i="4"/>
  <c r="C15" i="4"/>
  <c r="C15" i="8"/>
  <c r="D14" i="8"/>
  <c r="B19" i="8"/>
  <c r="B22" i="9"/>
  <c r="C16" i="4" l="1"/>
  <c r="C16" i="8"/>
  <c r="M23" i="19"/>
  <c r="M21" i="19"/>
  <c r="C41" i="6"/>
  <c r="C42" i="6" s="1"/>
  <c r="M22" i="19"/>
  <c r="C35" i="6"/>
  <c r="C36" i="6" s="1"/>
  <c r="C29" i="6"/>
  <c r="C30" i="6" s="1"/>
  <c r="C31" i="6" s="1"/>
  <c r="C23" i="6"/>
  <c r="C24" i="6" s="1"/>
  <c r="C25" i="6" s="1"/>
  <c r="B45" i="6"/>
  <c r="B46" i="6" s="1"/>
  <c r="B44" i="6"/>
  <c r="D15" i="4"/>
  <c r="D22" i="6"/>
  <c r="E14" i="4"/>
  <c r="B39" i="6"/>
  <c r="B40" i="6" s="1"/>
  <c r="B38" i="6"/>
  <c r="B27" i="6"/>
  <c r="B26" i="6"/>
  <c r="D15" i="8"/>
  <c r="E14" i="8"/>
  <c r="D16" i="4" l="1"/>
  <c r="D18" i="4" s="1"/>
  <c r="D18" i="9" s="1"/>
  <c r="C18" i="8"/>
  <c r="D16" i="8"/>
  <c r="D18" i="8" s="1"/>
  <c r="D22" i="9" s="1"/>
  <c r="C18" i="4"/>
  <c r="D41" i="6"/>
  <c r="D42" i="6" s="1"/>
  <c r="D35" i="6"/>
  <c r="D36" i="6"/>
  <c r="D23" i="6"/>
  <c r="D24" i="6" s="1"/>
  <c r="D25" i="6" s="1"/>
  <c r="D29" i="6"/>
  <c r="D30" i="6" s="1"/>
  <c r="D31" i="6" s="1"/>
  <c r="B28" i="6"/>
  <c r="B49" i="6" s="1"/>
  <c r="B51" i="6"/>
  <c r="C33" i="6"/>
  <c r="C34" i="6" s="1"/>
  <c r="C32" i="6"/>
  <c r="C26" i="6"/>
  <c r="C27" i="6"/>
  <c r="C28" i="6" s="1"/>
  <c r="E15" i="8"/>
  <c r="F14" i="8"/>
  <c r="E22" i="6"/>
  <c r="E15" i="4"/>
  <c r="F14" i="4"/>
  <c r="C45" i="6"/>
  <c r="C46" i="6" s="1"/>
  <c r="C43" i="6"/>
  <c r="C44" i="6"/>
  <c r="B52" i="6"/>
  <c r="C38" i="6"/>
  <c r="C39" i="6"/>
  <c r="C40" i="6" s="1"/>
  <c r="C37" i="6"/>
  <c r="C50" i="6" l="1"/>
  <c r="E16" i="8"/>
  <c r="E18" i="8" s="1"/>
  <c r="E22" i="9" s="1"/>
  <c r="C49" i="6"/>
  <c r="C22" i="9"/>
  <c r="C19" i="8"/>
  <c r="D19" i="8" s="1"/>
  <c r="C18" i="9"/>
  <c r="C19" i="4"/>
  <c r="D19" i="4" s="1"/>
  <c r="C51" i="6"/>
  <c r="E16" i="4"/>
  <c r="C52" i="6"/>
  <c r="E41" i="6"/>
  <c r="E42" i="6" s="1"/>
  <c r="E35" i="6"/>
  <c r="E36" i="6" s="1"/>
  <c r="E29" i="6"/>
  <c r="E30" i="6" s="1"/>
  <c r="E31" i="6" s="1"/>
  <c r="E23" i="6"/>
  <c r="E24" i="6" s="1"/>
  <c r="E25" i="6" s="1"/>
  <c r="B33" i="6"/>
  <c r="B34" i="6" s="1"/>
  <c r="B32" i="6"/>
  <c r="D32" i="6"/>
  <c r="D33" i="6"/>
  <c r="D34" i="6" s="1"/>
  <c r="D26" i="6"/>
  <c r="D27" i="6"/>
  <c r="D28" i="6" s="1"/>
  <c r="D38" i="6"/>
  <c r="D39" i="6"/>
  <c r="D40" i="6" s="1"/>
  <c r="D37" i="6"/>
  <c r="D43" i="6"/>
  <c r="D44" i="6"/>
  <c r="D45" i="6"/>
  <c r="D46" i="6" s="1"/>
  <c r="F22" i="6"/>
  <c r="F15" i="4"/>
  <c r="G14" i="4"/>
  <c r="G14" i="8"/>
  <c r="F15" i="8"/>
  <c r="E19" i="8" l="1"/>
  <c r="C53" i="6"/>
  <c r="D50" i="6"/>
  <c r="D51" i="6"/>
  <c r="D49" i="6"/>
  <c r="F16" i="8"/>
  <c r="F18" i="8" s="1"/>
  <c r="F22" i="9" s="1"/>
  <c r="E18" i="4"/>
  <c r="E18" i="9" s="1"/>
  <c r="F16" i="4"/>
  <c r="F18" i="4" s="1"/>
  <c r="F18" i="9" s="1"/>
  <c r="D52" i="6"/>
  <c r="F41" i="6"/>
  <c r="F42" i="6" s="1"/>
  <c r="F35" i="6"/>
  <c r="F36" i="6"/>
  <c r="F23" i="6"/>
  <c r="F24" i="6" s="1"/>
  <c r="F25" i="6" s="1"/>
  <c r="F29" i="6"/>
  <c r="F30" i="6" s="1"/>
  <c r="F31" i="6" s="1"/>
  <c r="B50" i="6"/>
  <c r="C20" i="9"/>
  <c r="C24" i="9" s="1"/>
  <c r="E38" i="6"/>
  <c r="E39" i="6"/>
  <c r="E40" i="6" s="1"/>
  <c r="E37" i="6"/>
  <c r="E26" i="6"/>
  <c r="E27" i="6"/>
  <c r="E28" i="6" s="1"/>
  <c r="H14" i="4"/>
  <c r="G15" i="4"/>
  <c r="G22" i="6"/>
  <c r="G15" i="8"/>
  <c r="H14" i="8"/>
  <c r="E43" i="6"/>
  <c r="E44" i="6"/>
  <c r="E45" i="6"/>
  <c r="E46" i="6" s="1"/>
  <c r="E33" i="6"/>
  <c r="E34" i="6" s="1"/>
  <c r="E32" i="6"/>
  <c r="D53" i="6" l="1"/>
  <c r="E51" i="6"/>
  <c r="E50" i="6"/>
  <c r="F19" i="8"/>
  <c r="E49" i="6"/>
  <c r="G16" i="4"/>
  <c r="G16" i="8"/>
  <c r="E19" i="4"/>
  <c r="F19" i="4" s="1"/>
  <c r="E52" i="6"/>
  <c r="B53" i="6"/>
  <c r="B20" i="9" s="1"/>
  <c r="B24" i="9" s="1"/>
  <c r="B24" i="12" s="1"/>
  <c r="B26" i="12" s="1"/>
  <c r="B28" i="12" s="1"/>
  <c r="G41" i="6"/>
  <c r="G42" i="6" s="1"/>
  <c r="G35" i="6"/>
  <c r="G36" i="6"/>
  <c r="G23" i="6"/>
  <c r="G24" i="6" s="1"/>
  <c r="G25" i="6" s="1"/>
  <c r="G29" i="6"/>
  <c r="G30" i="6" s="1"/>
  <c r="G31" i="6" s="1"/>
  <c r="C24" i="12"/>
  <c r="C26" i="12" s="1"/>
  <c r="D20" i="9"/>
  <c r="D24" i="9" s="1"/>
  <c r="F44" i="6"/>
  <c r="F45" i="6"/>
  <c r="F46" i="6" s="1"/>
  <c r="F43" i="6"/>
  <c r="F38" i="6"/>
  <c r="F39" i="6"/>
  <c r="F40" i="6" s="1"/>
  <c r="F37" i="6"/>
  <c r="F32" i="6"/>
  <c r="F33" i="6"/>
  <c r="F34" i="6" s="1"/>
  <c r="H15" i="8"/>
  <c r="I14" i="8"/>
  <c r="H22" i="6"/>
  <c r="H15" i="4"/>
  <c r="I14" i="4"/>
  <c r="F26" i="6"/>
  <c r="F27" i="6"/>
  <c r="F28" i="6" s="1"/>
  <c r="E53" i="6" l="1"/>
  <c r="B54" i="6"/>
  <c r="C54" i="6" s="1"/>
  <c r="G18" i="8"/>
  <c r="H16" i="8"/>
  <c r="H18" i="8" s="1"/>
  <c r="H22" i="9" s="1"/>
  <c r="H16" i="4"/>
  <c r="H18" i="4" s="1"/>
  <c r="H18" i="9" s="1"/>
  <c r="G18" i="4"/>
  <c r="F50" i="6"/>
  <c r="F49" i="6"/>
  <c r="F51" i="6"/>
  <c r="F52" i="6"/>
  <c r="B25" i="9"/>
  <c r="C25" i="9" s="1"/>
  <c r="B29" i="12"/>
  <c r="H41" i="6"/>
  <c r="H42" i="6" s="1"/>
  <c r="H35" i="6"/>
  <c r="H36" i="6" s="1"/>
  <c r="H29" i="6"/>
  <c r="H30" i="6" s="1"/>
  <c r="H31" i="6" s="1"/>
  <c r="H23" i="6"/>
  <c r="H24" i="6" s="1"/>
  <c r="H25" i="6" s="1"/>
  <c r="C29" i="12"/>
  <c r="C28" i="12"/>
  <c r="D24" i="12"/>
  <c r="D26" i="12" s="1"/>
  <c r="D54" i="6"/>
  <c r="G33" i="6"/>
  <c r="G34" i="6" s="1"/>
  <c r="G32" i="6"/>
  <c r="G50" i="6" s="1"/>
  <c r="G44" i="6"/>
  <c r="G45" i="6"/>
  <c r="G46" i="6" s="1"/>
  <c r="G43" i="6"/>
  <c r="I22" i="6"/>
  <c r="I15" i="4"/>
  <c r="J14" i="4"/>
  <c r="G37" i="6"/>
  <c r="G39" i="6"/>
  <c r="G40" i="6" s="1"/>
  <c r="G38" i="6"/>
  <c r="I15" i="8"/>
  <c r="J14" i="8"/>
  <c r="G26" i="6"/>
  <c r="G27" i="6"/>
  <c r="G28" i="6" s="1"/>
  <c r="B25" i="12" l="1"/>
  <c r="B27" i="12" s="1"/>
  <c r="B30" i="12" s="1"/>
  <c r="F53" i="6"/>
  <c r="G18" i="9"/>
  <c r="G19" i="4"/>
  <c r="H19" i="4" s="1"/>
  <c r="G51" i="6"/>
  <c r="I16" i="4"/>
  <c r="I18" i="4" s="1"/>
  <c r="I18" i="9" s="1"/>
  <c r="G49" i="6"/>
  <c r="G53" i="6" s="1"/>
  <c r="G19" i="8"/>
  <c r="H19" i="8" s="1"/>
  <c r="I19" i="8" s="1"/>
  <c r="G22" i="9"/>
  <c r="I16" i="8"/>
  <c r="I18" i="8" s="1"/>
  <c r="I22" i="9" s="1"/>
  <c r="G52" i="6"/>
  <c r="I41" i="6"/>
  <c r="I42" i="6" s="1"/>
  <c r="I35" i="6"/>
  <c r="I36" i="6" s="1"/>
  <c r="I29" i="6"/>
  <c r="I30" i="6" s="1"/>
  <c r="I31" i="6" s="1"/>
  <c r="I23" i="6"/>
  <c r="I24" i="6" s="1"/>
  <c r="I25" i="6" s="1"/>
  <c r="D29" i="12"/>
  <c r="D28" i="12"/>
  <c r="C25" i="12"/>
  <c r="C27" i="12" s="1"/>
  <c r="D25" i="9"/>
  <c r="E54" i="6"/>
  <c r="F20" i="9"/>
  <c r="F24" i="9" s="1"/>
  <c r="E20" i="9"/>
  <c r="E24" i="9" s="1"/>
  <c r="H44" i="6"/>
  <c r="H45" i="6"/>
  <c r="H46" i="6" s="1"/>
  <c r="H43" i="6"/>
  <c r="J22" i="6"/>
  <c r="J15" i="4"/>
  <c r="K14" i="4"/>
  <c r="K14" i="8"/>
  <c r="K15" i="8" s="1"/>
  <c r="J15" i="8"/>
  <c r="H37" i="6"/>
  <c r="H38" i="6"/>
  <c r="H39" i="6"/>
  <c r="H40" i="6" s="1"/>
  <c r="H33" i="6"/>
  <c r="H34" i="6" s="1"/>
  <c r="H32" i="6"/>
  <c r="H50" i="6" s="1"/>
  <c r="H26" i="6"/>
  <c r="H27" i="6"/>
  <c r="H28" i="6" s="1"/>
  <c r="I19" i="4"/>
  <c r="B31" i="12" l="1"/>
  <c r="H49" i="6"/>
  <c r="H51" i="6"/>
  <c r="J16" i="4"/>
  <c r="J18" i="4" s="1"/>
  <c r="J18" i="9" s="1"/>
  <c r="J16" i="8"/>
  <c r="J18" i="8" s="1"/>
  <c r="J19" i="8" s="1"/>
  <c r="K16" i="8"/>
  <c r="H52" i="6"/>
  <c r="J41" i="6"/>
  <c r="J42" i="6" s="1"/>
  <c r="J35" i="6"/>
  <c r="J36" i="6" s="1"/>
  <c r="J29" i="6"/>
  <c r="J30" i="6" s="1"/>
  <c r="J31" i="6" s="1"/>
  <c r="J23" i="6"/>
  <c r="J24" i="6" s="1"/>
  <c r="J25" i="6" s="1"/>
  <c r="C31" i="12"/>
  <c r="C30" i="12"/>
  <c r="F24" i="12"/>
  <c r="F26" i="12" s="1"/>
  <c r="D25" i="12"/>
  <c r="D27" i="12" s="1"/>
  <c r="F54" i="6"/>
  <c r="I32" i="6"/>
  <c r="I33" i="6"/>
  <c r="I34" i="6" s="1"/>
  <c r="I26" i="6"/>
  <c r="I27" i="6"/>
  <c r="I28" i="6" s="1"/>
  <c r="I45" i="6"/>
  <c r="I46" i="6" s="1"/>
  <c r="I44" i="6"/>
  <c r="I43" i="6"/>
  <c r="K22" i="6"/>
  <c r="K15" i="4"/>
  <c r="I38" i="6"/>
  <c r="I39" i="6"/>
  <c r="I40" i="6" s="1"/>
  <c r="I37" i="6"/>
  <c r="H53" i="6" l="1"/>
  <c r="H20" i="9" s="1"/>
  <c r="H24" i="9" s="1"/>
  <c r="J22" i="9"/>
  <c r="I51" i="6"/>
  <c r="J19" i="4"/>
  <c r="I49" i="6"/>
  <c r="K18" i="8"/>
  <c r="K22" i="9" s="1"/>
  <c r="L16" i="8"/>
  <c r="K16" i="4"/>
  <c r="I50" i="6"/>
  <c r="I52" i="6"/>
  <c r="K41" i="6"/>
  <c r="K42" i="6" s="1"/>
  <c r="K35" i="6"/>
  <c r="K36" i="6" s="1"/>
  <c r="K29" i="6"/>
  <c r="K30" i="6" s="1"/>
  <c r="K31" i="6" s="1"/>
  <c r="K23" i="6"/>
  <c r="K24" i="6" s="1"/>
  <c r="K25" i="6" s="1"/>
  <c r="F28" i="12"/>
  <c r="F29" i="12"/>
  <c r="D31" i="12"/>
  <c r="D30" i="12"/>
  <c r="E25" i="9"/>
  <c r="E25" i="12" s="1"/>
  <c r="E27" i="12" s="1"/>
  <c r="E24" i="12"/>
  <c r="E26" i="12" s="1"/>
  <c r="G20" i="9"/>
  <c r="G24" i="9" s="1"/>
  <c r="G54" i="6"/>
  <c r="J26" i="6"/>
  <c r="J27" i="6"/>
  <c r="J28" i="6" s="1"/>
  <c r="J32" i="6"/>
  <c r="J33" i="6"/>
  <c r="J34" i="6" s="1"/>
  <c r="J43" i="6"/>
  <c r="J44" i="6"/>
  <c r="J45" i="6"/>
  <c r="J46" i="6" s="1"/>
  <c r="J38" i="6"/>
  <c r="J39" i="6"/>
  <c r="J40" i="6" s="1"/>
  <c r="J37" i="6"/>
  <c r="L22" i="9" l="1"/>
  <c r="J51" i="6"/>
  <c r="K18" i="4"/>
  <c r="L16" i="4"/>
  <c r="J50" i="6"/>
  <c r="I53" i="6"/>
  <c r="I20" i="9" s="1"/>
  <c r="I24" i="9" s="1"/>
  <c r="J49" i="6"/>
  <c r="K19" i="8"/>
  <c r="M17" i="8" s="1"/>
  <c r="J52" i="6"/>
  <c r="E29" i="12"/>
  <c r="E28" i="12"/>
  <c r="E31" i="12"/>
  <c r="E30" i="12"/>
  <c r="G24" i="12"/>
  <c r="G26" i="12" s="1"/>
  <c r="F25" i="9"/>
  <c r="H24" i="12"/>
  <c r="H26" i="12" s="1"/>
  <c r="H54" i="6"/>
  <c r="K39" i="6"/>
  <c r="K40" i="6" s="1"/>
  <c r="K38" i="6"/>
  <c r="K37" i="6"/>
  <c r="K32" i="6"/>
  <c r="K33" i="6"/>
  <c r="K34" i="6" s="1"/>
  <c r="K26" i="6"/>
  <c r="K27" i="6"/>
  <c r="K28" i="6" s="1"/>
  <c r="K44" i="6"/>
  <c r="K45" i="6"/>
  <c r="K46" i="6" s="1"/>
  <c r="K43" i="6"/>
  <c r="K49" i="6" l="1"/>
  <c r="K51" i="6"/>
  <c r="M51" i="6" s="1"/>
  <c r="K50" i="6"/>
  <c r="M50" i="6" s="1"/>
  <c r="J53" i="6"/>
  <c r="J20" i="9" s="1"/>
  <c r="J24" i="9" s="1"/>
  <c r="K19" i="4"/>
  <c r="M17" i="4" s="1"/>
  <c r="K18" i="9"/>
  <c r="L18" i="9" s="1"/>
  <c r="M16" i="8"/>
  <c r="K52" i="6"/>
  <c r="M52" i="6" s="1"/>
  <c r="M49" i="6"/>
  <c r="H29" i="12"/>
  <c r="H28" i="12"/>
  <c r="G29" i="12"/>
  <c r="G28" i="12"/>
  <c r="F25" i="12"/>
  <c r="F27" i="12" s="1"/>
  <c r="I24" i="12"/>
  <c r="I26" i="12" s="1"/>
  <c r="G25" i="9"/>
  <c r="G25" i="12" s="1"/>
  <c r="G27" i="12" s="1"/>
  <c r="I54" i="6"/>
  <c r="L51" i="6" l="1"/>
  <c r="L50" i="6"/>
  <c r="K53" i="6"/>
  <c r="K20" i="9" s="1"/>
  <c r="K24" i="9" s="1"/>
  <c r="L52" i="6"/>
  <c r="M16" i="4"/>
  <c r="G31" i="12"/>
  <c r="G30" i="12"/>
  <c r="I29" i="12"/>
  <c r="I28" i="12"/>
  <c r="F31" i="12"/>
  <c r="F30" i="12"/>
  <c r="H25" i="9"/>
  <c r="I25" i="9" s="1"/>
  <c r="J24" i="12"/>
  <c r="J26" i="12" s="1"/>
  <c r="J54" i="6"/>
  <c r="L49" i="6"/>
  <c r="L53" i="6" l="1"/>
  <c r="J29" i="12"/>
  <c r="J28" i="12"/>
  <c r="H25" i="12"/>
  <c r="H27" i="12" s="1"/>
  <c r="J25" i="9"/>
  <c r="I25" i="12"/>
  <c r="I27" i="12" s="1"/>
  <c r="K24" i="12"/>
  <c r="K26" i="12" s="1"/>
  <c r="K54" i="6"/>
  <c r="L20" i="9"/>
  <c r="L24" i="9" s="1"/>
  <c r="N52" i="6" l="1"/>
  <c r="N51" i="6"/>
  <c r="N50" i="6"/>
  <c r="N48" i="6"/>
  <c r="N49" i="6"/>
  <c r="M15" i="9"/>
  <c r="M23" i="9"/>
  <c r="K29" i="12"/>
  <c r="K28" i="12"/>
  <c r="H31" i="12"/>
  <c r="H30" i="12"/>
  <c r="I31" i="12"/>
  <c r="I30" i="12"/>
  <c r="J25" i="12"/>
  <c r="J27" i="12" s="1"/>
  <c r="M20" i="9"/>
  <c r="K25" i="9"/>
  <c r="J31" i="12" l="1"/>
  <c r="J30" i="12"/>
  <c r="B29" i="9"/>
  <c r="B30" i="9" s="1"/>
  <c r="K25" i="12"/>
  <c r="K27" i="12" s="1"/>
  <c r="K26" i="9"/>
  <c r="M18" i="9"/>
  <c r="J26" i="9"/>
  <c r="M21" i="9"/>
  <c r="C26" i="9"/>
  <c r="F26" i="9"/>
  <c r="H26" i="9"/>
  <c r="M17" i="9"/>
  <c r="D26" i="9"/>
  <c r="E26" i="9"/>
  <c r="I26" i="9"/>
  <c r="M19" i="9"/>
  <c r="G26" i="9"/>
  <c r="M16" i="9"/>
  <c r="B26" i="9"/>
  <c r="M22" i="9"/>
  <c r="M24" i="9" l="1"/>
  <c r="K31" i="12"/>
  <c r="K30" i="12"/>
</calcChain>
</file>

<file path=xl/sharedStrings.xml><?xml version="1.0" encoding="utf-8"?>
<sst xmlns="http://schemas.openxmlformats.org/spreadsheetml/2006/main" count="381" uniqueCount="274">
  <si>
    <t>Year-over-year cost escalation (%)</t>
  </si>
  <si>
    <t>Average annual rate of inflation over the 10-year period</t>
  </si>
  <si>
    <t>TYPE 1</t>
  </si>
  <si>
    <t>TYPE 2</t>
  </si>
  <si>
    <t>TYPE 3</t>
  </si>
  <si>
    <t>TYPE 4</t>
  </si>
  <si>
    <r>
      <t xml:space="preserve">Segregate facilities by up to 4 categories from a </t>
    </r>
    <r>
      <rPr>
        <b/>
        <sz val="11"/>
        <color rgb="FFFF0000"/>
        <rFont val="Calibri"/>
        <family val="2"/>
        <scheme val="minor"/>
      </rPr>
      <t>COST</t>
    </r>
    <r>
      <rPr>
        <sz val="11"/>
        <color rgb="FFFF0000"/>
        <rFont val="Calibri"/>
        <family val="2"/>
        <scheme val="minor"/>
      </rPr>
      <t xml:space="preserve"> standpoint (e.g. hospitals, clinics, health outposts &amp; labs &amp; pharmacies…)</t>
    </r>
  </si>
  <si>
    <t># Facilities</t>
  </si>
  <si>
    <t xml:space="preserve">Enter the number of facilites of each COST type. </t>
  </si>
  <si>
    <t>Annual facility growth rate (%)</t>
  </si>
  <si>
    <t>The annual expansion rate of the number of facilities, expressed as a %</t>
  </si>
  <si>
    <t>Population size (#)</t>
  </si>
  <si>
    <t>country population</t>
  </si>
  <si>
    <t>Annual population growth rate (%)</t>
  </si>
  <si>
    <t xml:space="preserve"># Health Workers </t>
  </si>
  <si>
    <t xml:space="preserve">The number of health workers across ALL cadres (doctors, nurses, pharmacists, CHWs…). </t>
  </si>
  <si>
    <t>HW population growth rate (%)</t>
  </si>
  <si>
    <t>The annual expansion rate of the health workforce, expressed as a %</t>
  </si>
  <si>
    <t>Pre-Launch Costs</t>
  </si>
  <si>
    <t>This value is from the "Pre-Launch" column on the Governance tab; it indicates activities to be undertaken BEFORE implementing national digital health infrastructure</t>
  </si>
  <si>
    <t>Year</t>
  </si>
  <si>
    <t>10-yr Total</t>
  </si>
  <si>
    <t>Governance</t>
  </si>
  <si>
    <t>Datacentre infrastructure</t>
  </si>
  <si>
    <t>Client Registry</t>
  </si>
  <si>
    <t>Facility Registry</t>
  </si>
  <si>
    <t>Health Worker Registry</t>
  </si>
  <si>
    <t>Shared Health Record</t>
  </si>
  <si>
    <t>Terminology Services</t>
  </si>
  <si>
    <t>HMIS</t>
  </si>
  <si>
    <t>HHR Capacity-building</t>
  </si>
  <si>
    <t>Total Annual Cost</t>
  </si>
  <si>
    <t>Running total cost</t>
  </si>
  <si>
    <t>Annual total health expenditure (per capita $)</t>
  </si>
  <si>
    <r>
      <t>Enter the per-capita total health expenditure (</t>
    </r>
    <r>
      <rPr>
        <b/>
        <sz val="11"/>
        <color rgb="FFFF0000"/>
        <rFont val="Calibri"/>
        <family val="2"/>
        <scheme val="minor"/>
      </rPr>
      <t>THE</t>
    </r>
    <r>
      <rPr>
        <sz val="11"/>
        <color rgb="FFFF0000"/>
        <rFont val="Calibri"/>
        <family val="2"/>
        <scheme val="minor"/>
      </rPr>
      <t>, e.g. from WB stats page)</t>
    </r>
  </si>
  <si>
    <t>10-yr avg annual ICT cost per capita</t>
  </si>
  <si>
    <r>
      <rPr>
        <sz val="11"/>
        <color rgb="FFFF0000"/>
        <rFont val="Calibri"/>
        <family val="2"/>
        <scheme val="minor"/>
      </rPr>
      <t xml:space="preserve">this is </t>
    </r>
    <r>
      <rPr>
        <b/>
        <sz val="11"/>
        <color rgb="FFFF0000"/>
        <rFont val="Calibri"/>
        <family val="2"/>
        <scheme val="minor"/>
      </rPr>
      <t>per capita</t>
    </r>
  </si>
  <si>
    <t>ICT as a % of health expenditure</t>
  </si>
  <si>
    <r>
      <t xml:space="preserve">As a reasonableness test, ICT spend in many OECD countries is </t>
    </r>
    <r>
      <rPr>
        <b/>
        <sz val="11"/>
        <color rgb="FFFF0000"/>
        <rFont val="Calibri"/>
        <family val="2"/>
        <scheme val="minor"/>
      </rPr>
      <t>2-5%</t>
    </r>
    <r>
      <rPr>
        <sz val="11"/>
        <color rgb="FFFF0000"/>
        <rFont val="Calibri"/>
        <family val="2"/>
        <scheme val="minor"/>
      </rPr>
      <t xml:space="preserve"> of total health expenditure (THE)</t>
    </r>
  </si>
  <si>
    <t>Year over year cost escalation (%)</t>
  </si>
  <si>
    <t>YEAR</t>
  </si>
  <si>
    <t>#</t>
  </si>
  <si>
    <t>Units</t>
  </si>
  <si>
    <t>Cost per Unit</t>
  </si>
  <si>
    <t>Extended Cost</t>
  </si>
  <si>
    <t>Pre-Launch</t>
  </si>
  <si>
    <t>10-year Cost</t>
  </si>
  <si>
    <t>% of total</t>
  </si>
  <si>
    <t>Digital Health Strategy</t>
  </si>
  <si>
    <t>Put a "1" for the years when this activity is to be done</t>
  </si>
  <si>
    <t>Subject Matter Experts</t>
  </si>
  <si>
    <t>days</t>
  </si>
  <si>
    <t>Workshops</t>
  </si>
  <si>
    <t>each</t>
  </si>
  <si>
    <t>Regional meetings</t>
  </si>
  <si>
    <t>Subtotal</t>
  </si>
  <si>
    <t>Digital Health Blueprint</t>
  </si>
  <si>
    <t>eHealth Norms and Standards</t>
  </si>
  <si>
    <t>Health Data Sharing Policy</t>
  </si>
  <si>
    <t>Digital Health Governance</t>
  </si>
  <si>
    <t>Annual cost/unit</t>
  </si>
  <si>
    <t>Annual costs</t>
  </si>
  <si>
    <t>Committees</t>
  </si>
  <si>
    <t>department</t>
  </si>
  <si>
    <t xml:space="preserve">Regular meetings </t>
  </si>
  <si>
    <t>meetings</t>
  </si>
  <si>
    <t>National meetings</t>
  </si>
  <si>
    <t>Annual Cost (including escalation)</t>
  </si>
  <si>
    <t xml:space="preserve">Pre-Launch costs: </t>
  </si>
  <si>
    <t>IT installer rate ($/hr)</t>
  </si>
  <si>
    <t>Hourly rate for infrastructure application consultants (e.g. international consultants)</t>
  </si>
  <si>
    <t>IT operator rate ($/hr)</t>
  </si>
  <si>
    <t>Hourly rate for local country IT operators for datacentre</t>
  </si>
  <si>
    <t>Software maintenance fee (% of license fee)</t>
  </si>
  <si>
    <t>Annual maintenance fee for software (e.g. commercial software is typically 15% annual maint. fee)</t>
  </si>
  <si>
    <t>Software fee ($)</t>
  </si>
  <si>
    <t>VM fee ($)</t>
  </si>
  <si>
    <t>IT Effort (hrs)</t>
  </si>
  <si>
    <t>Extended cost ($)</t>
  </si>
  <si>
    <t>For datacentre installation, enter 1-time costs for the SETUP and INSTALLATION</t>
  </si>
  <si>
    <t>Datacentre Installation (1-time costs)</t>
  </si>
  <si>
    <t>Client Registry (CR)</t>
  </si>
  <si>
    <t>Health Worker Registry (ILR-HWR)</t>
  </si>
  <si>
    <t>Facility Registry (ILR-FR)</t>
  </si>
  <si>
    <t>Terminology Server (TS)</t>
  </si>
  <si>
    <t>Shared Health Record Repository (SHR)</t>
  </si>
  <si>
    <t>Health Management Information System (HMIS)</t>
  </si>
  <si>
    <t>Interoperability Layer (IL)</t>
  </si>
  <si>
    <t>"All in" one-time setup cost ($)</t>
  </si>
  <si>
    <r>
      <t xml:space="preserve">** either enter an all-in cost </t>
    </r>
    <r>
      <rPr>
        <b/>
        <u/>
        <sz val="11"/>
        <color rgb="FFFF0000"/>
        <rFont val="Calibri"/>
        <family val="2"/>
        <scheme val="minor"/>
      </rPr>
      <t>or</t>
    </r>
    <r>
      <rPr>
        <b/>
        <sz val="11"/>
        <color rgb="FFFF0000"/>
        <rFont val="Calibri"/>
        <family val="2"/>
        <scheme val="minor"/>
      </rPr>
      <t xml:space="preserve"> enter installation costs for each infrastructure actor (not both)</t>
    </r>
  </si>
  <si>
    <t>Datacentre Operation (monthly costs)</t>
  </si>
  <si>
    <t>For datacentre operation, enter monthly fees for Virtual Machines (VMs) and for ongoing SUPPORT</t>
  </si>
  <si>
    <t>"All in" infrastructure monthly operating cost ($)</t>
  </si>
  <si>
    <r>
      <t xml:space="preserve">** either enter an all-in monthly cost </t>
    </r>
    <r>
      <rPr>
        <b/>
        <u/>
        <sz val="11"/>
        <color rgb="FFFF0000"/>
        <rFont val="Calibri"/>
        <family val="2"/>
        <scheme val="minor"/>
      </rPr>
      <t>or</t>
    </r>
    <r>
      <rPr>
        <b/>
        <sz val="11"/>
        <color rgb="FFFF0000"/>
        <rFont val="Calibri"/>
        <family val="2"/>
        <scheme val="minor"/>
      </rPr>
      <t xml:space="preserve"> enter monthly support costs for each infrastructure actor (not both)</t>
    </r>
  </si>
  <si>
    <t>Running Total Cost</t>
  </si>
  <si>
    <t>Initial Population size (#)</t>
  </si>
  <si>
    <t>Population growth rate (%)</t>
  </si>
  <si>
    <t>Digital ID provisioning cost ($/ea)</t>
  </si>
  <si>
    <r>
      <t xml:space="preserve">The cost of establishing a unique </t>
    </r>
    <r>
      <rPr>
        <b/>
        <sz val="11"/>
        <color rgb="FFFF0000"/>
        <rFont val="Calibri"/>
        <family val="2"/>
        <scheme val="minor"/>
      </rPr>
      <t xml:space="preserve">digital ID </t>
    </r>
    <r>
      <rPr>
        <sz val="11"/>
        <color rgb="FFFF0000"/>
        <rFont val="Calibri"/>
        <family val="2"/>
        <scheme val="minor"/>
      </rPr>
      <t>for health (e.g. ID confirmation, PKI certificate, etc.)</t>
    </r>
  </si>
  <si>
    <t>ID card provisioning cost ($/ea)</t>
  </si>
  <si>
    <t>The cost per card could be low (e.g. $0.02 for barcode sticker, $0.15 per cardboard card) or high ($5 per plastic card with a chip and a picture)</t>
  </si>
  <si>
    <t>ID card renewal period (yrs)</t>
  </si>
  <si>
    <t xml:space="preserve">Enter the "valid for" time period, after which the cards will need to be renewed (e.g. 5 years is typical for a "picture" card) </t>
  </si>
  <si>
    <t>ID card churn rate (%/yr)</t>
  </si>
  <si>
    <t>Percentage of cards per year that will need to be regenerated because they were lost or damaged, etc.</t>
  </si>
  <si>
    <t>ID issuing facilities (#)</t>
  </si>
  <si>
    <t xml:space="preserve">How many facilities will be able to issue cards? </t>
  </si>
  <si>
    <t>ID establishment  setup cost ($)</t>
  </si>
  <si>
    <t>What will be setup cost per facility (e.g. will they need photo equipment, or a plastic card printer, or only a laminator)?</t>
  </si>
  <si>
    <t>ID establishment  operating cost ($/mo.)</t>
  </si>
  <si>
    <t>What will be the incremental added monthly cost needed to support card issuing at this facility?</t>
  </si>
  <si>
    <t>Initial proportion that need digital IDs (%)</t>
  </si>
  <si>
    <r>
      <t xml:space="preserve">What proportion of the population need their digital ID established (e.g. do not already </t>
    </r>
    <r>
      <rPr>
        <b/>
        <sz val="11"/>
        <color rgb="FFFF0000"/>
        <rFont val="Calibri"/>
        <family val="2"/>
        <scheme val="minor"/>
      </rPr>
      <t>have</t>
    </r>
    <r>
      <rPr>
        <sz val="11"/>
        <color rgb="FFFF0000"/>
        <rFont val="Calibri"/>
        <family val="2"/>
        <scheme val="minor"/>
      </rPr>
      <t xml:space="preserve"> one that can be used)?</t>
    </r>
  </si>
  <si>
    <t>Proportion that need cards (%)</t>
  </si>
  <si>
    <r>
      <t xml:space="preserve">What proportion of the population are going to need a "wallet" ID for health? (if </t>
    </r>
    <r>
      <rPr>
        <b/>
        <sz val="11"/>
        <color rgb="FFFF0000"/>
        <rFont val="Calibri"/>
        <family val="2"/>
        <scheme val="minor"/>
      </rPr>
      <t>everyone</t>
    </r>
    <r>
      <rPr>
        <sz val="11"/>
        <color rgb="FFFF0000"/>
        <rFont val="Calibri"/>
        <family val="2"/>
        <scheme val="minor"/>
      </rPr>
      <t>, use 100%)</t>
    </r>
  </si>
  <si>
    <t>10-year total</t>
  </si>
  <si>
    <t>Population (#)</t>
  </si>
  <si>
    <t>Population with ID cards (#)</t>
  </si>
  <si>
    <t>New ID cards issued (#)</t>
  </si>
  <si>
    <t>IDs cards renewed (#)</t>
  </si>
  <si>
    <t>Digital IDs provisioned (#)</t>
  </si>
  <si>
    <t>ID issuing facility costs ($)</t>
  </si>
  <si>
    <t>ID card issuing costs ($)</t>
  </si>
  <si>
    <t>Running total Costs</t>
  </si>
  <si>
    <t>NOTE: it is assumed that a facility registry based on a federation of underlying data sources is being deployed (similar to OpenHIE's inter-linked registry).</t>
  </si>
  <si>
    <t>Facility databases (#)</t>
  </si>
  <si>
    <t>How many underlying databases will contain facility data (e.g. DHIS2 database, military facility list, etc.)?</t>
  </si>
  <si>
    <t>Cost per database application interface  ($)</t>
  </si>
  <si>
    <t>What will it cost to connect each database to the InterLinked Registry?</t>
  </si>
  <si>
    <t>API maintenance cost per year (%)</t>
  </si>
  <si>
    <t>What will be the annual maintenance fee (as a %) to support each database interface?</t>
  </si>
  <si>
    <t>Public and private care facilities (#)</t>
  </si>
  <si>
    <t>Annual growth rate (%)</t>
  </si>
  <si>
    <t>MOH interactions per facility per year (#)</t>
  </si>
  <si>
    <t>The data must be kept accurate and fresh; how many times each year will MOH contact each facility to confirm/refresh data?</t>
  </si>
  <si>
    <t>Cost per interaction ($)</t>
  </si>
  <si>
    <t>What will each "refresh" cost (e.g. $.10 per SMS, $5 per phone call, $50 per in-person visit)?</t>
  </si>
  <si>
    <t>Facilities (#)</t>
  </si>
  <si>
    <t>MOH Interactions</t>
  </si>
  <si>
    <t>Interaction costs</t>
  </si>
  <si>
    <t>Database API costs</t>
  </si>
  <si>
    <t>NOTE: it is assumed that a health workder registry based on a federation of underlying data sources is being deployed (similar to OpenHIE's inter-linked registry).</t>
  </si>
  <si>
    <t>Health Worker Cadre databases (#)</t>
  </si>
  <si>
    <t>How many underlying databases will contain health worker data (e.g. College of Physicians, College of Nurses, MOH payroll system, etc.)?</t>
  </si>
  <si>
    <t>Initial HW population (#)</t>
  </si>
  <si>
    <t>MOH interactions per HW per year (#)</t>
  </si>
  <si>
    <t>The data must be kept accurate and fresh; how many times each year will MOH contact each health worker to confirm/refresh data?</t>
  </si>
  <si>
    <t>HW Population (#)</t>
  </si>
  <si>
    <t>Database interface costs</t>
  </si>
  <si>
    <t>Unique health ICT applications (#)</t>
  </si>
  <si>
    <t>How many unique point of service software systems (EMRs, mHealth apps, lab, etc.) need to be interfaced to the Interopability Layer?</t>
  </si>
  <si>
    <t>Cost per application interface  ($)</t>
  </si>
  <si>
    <t>What will be the cost, per POS, to develop the full suite of necessary interfaces (e.g. PIX, PDQ, XDS, etc.)?</t>
  </si>
  <si>
    <t>What will be annual support cost for each interface (as a % of original dev cost)?</t>
  </si>
  <si>
    <t>Facilities (from Summary sheet) (#)</t>
  </si>
  <si>
    <t>Facilities of this TYPE (%)</t>
  </si>
  <si>
    <t>Facilities of this TYPE (#)</t>
  </si>
  <si>
    <t>Facilities for which MOH pays (%)</t>
  </si>
  <si>
    <t>What proportion of the facilities are MOH-supported (vs private sector)?</t>
  </si>
  <si>
    <t>MOH-supported facilities (#)</t>
  </si>
  <si>
    <t>1-time ICT implementation cost for TYPE ($)</t>
  </si>
  <si>
    <t>What is the implementation cost for a POS at each type of facility (e.g. EMR implementation cost)?</t>
  </si>
  <si>
    <t>Annual ICT operating cost for TYPE ($)</t>
  </si>
  <si>
    <t>What is the annual operating cost for the POS at this facility type (e.g. IT support plus internet cost, etc.)?</t>
  </si>
  <si>
    <t>Current ICT adoption by this TYPE (%)</t>
  </si>
  <si>
    <t>How many MOH-supported facilities of each type already HAVE eHealth systems in place?</t>
  </si>
  <si>
    <t>Current ICT-capable by this TYPE (#)</t>
  </si>
  <si>
    <t>ICT rollout period (yrs)</t>
  </si>
  <si>
    <t>How many years will it take to do a rollout to all facilities?</t>
  </si>
  <si>
    <t>MOH interactions per year (#)</t>
  </si>
  <si>
    <t>How many times per year will MOH "interact" with each installation (e.g. to confirm security, refresh code lists, etc.)?</t>
  </si>
  <si>
    <t>MOH cost per interaction ($)</t>
  </si>
  <si>
    <t>What will it cost per audit (e.g. $.10 for SMS, $5 for phone call, $50 for onsite visit)?</t>
  </si>
  <si>
    <t>Total Facilities (from ILR-FR sheet) (#)</t>
  </si>
  <si>
    <t>TYPE 1 Facilities MOH pays for (#)</t>
  </si>
  <si>
    <t>TYPE 1 Facilities with ICT (#)</t>
  </si>
  <si>
    <t>TYPE 1 new (1-time) ICT costs</t>
  </si>
  <si>
    <t>TYPE 1 operating costs</t>
  </si>
  <si>
    <t>TYPE 1 MOH interactions (#)</t>
  </si>
  <si>
    <t>TYPE 1 interaction costs</t>
  </si>
  <si>
    <t>TYPE 2 Facilities MOH pays for (#)</t>
  </si>
  <si>
    <t>TYPE 2 Facilities with ICT (#)</t>
  </si>
  <si>
    <t>TYPE 2 new (1-time) ICT costs</t>
  </si>
  <si>
    <t>TYPE 2 operating costs</t>
  </si>
  <si>
    <t>TYPE 2 MOH interactions (#)</t>
  </si>
  <si>
    <t>TYPE 2 interaction costs</t>
  </si>
  <si>
    <t>TYPE 3 Facilities MOH pays for (#)</t>
  </si>
  <si>
    <t>TYPE 3 Facilities with ICT (#)</t>
  </si>
  <si>
    <t>TYPE 3 new (1-time) ICT costs</t>
  </si>
  <si>
    <t>TYPE 3 operating costs</t>
  </si>
  <si>
    <t>TYPE 3 MOH interactions (#)</t>
  </si>
  <si>
    <t>TYPE 3 interaction costs</t>
  </si>
  <si>
    <t>TYPE 4 Facilities MOH pays for (#)</t>
  </si>
  <si>
    <t>TYPE 4 Facilities with ICT (#)</t>
  </si>
  <si>
    <t>TYPE 4 new (1-time) ICT costs</t>
  </si>
  <si>
    <t>TYPE 4 operating costs</t>
  </si>
  <si>
    <t>TYPE 4 MOH interactions (#)</t>
  </si>
  <si>
    <t>TYPE 4 interaction costs</t>
  </si>
  <si>
    <t>Summary costs, including escalation</t>
  </si>
  <si>
    <t>Health ICT application Interface Costs</t>
  </si>
  <si>
    <t>TYPE 1 Facility ICT Cost</t>
  </si>
  <si>
    <t>TYPE 2 Facility ICT Cost</t>
  </si>
  <si>
    <t>TYPE 3 Facility ICT Cost</t>
  </si>
  <si>
    <t>TYPE 4 Facility ICT Cost</t>
  </si>
  <si>
    <t>Terminology servers (#)</t>
  </si>
  <si>
    <t>Total cost of codelist databases ($)</t>
  </si>
  <si>
    <t>What is the one-time fee for licensing codelists (e.g. SNOMED-CT, ICD-10, LOINC, CPT, etc.)?</t>
  </si>
  <si>
    <t>Codelist maintenance cost per year (%)</t>
  </si>
  <si>
    <t>What is the annual maintenance fee for the codelists (expressed as a % of purchase fee)?</t>
  </si>
  <si>
    <t># of software applications (from SHR sheet)</t>
  </si>
  <si>
    <t>MOH interactions per app per year (#)</t>
  </si>
  <si>
    <t>How many times per year will MOH "refresh" the codelists in the POS applications?</t>
  </si>
  <si>
    <t>How much will it cost for each codelist refresh (including POS conformance testing)?</t>
  </si>
  <si>
    <t>Health ICT applications (#)</t>
  </si>
  <si>
    <t>Codelist costs</t>
  </si>
  <si>
    <t>HMIS databases (#)</t>
  </si>
  <si>
    <t>How many HMIS data warehouses will need to be maintained (e.g. one for MOH, one for health insurer, etc.)?</t>
  </si>
  <si>
    <t>Cost per SHR-HMIS interface  ($)</t>
  </si>
  <si>
    <t>What will it cost to connect the SHR to each database?</t>
  </si>
  <si>
    <t># Facilities (from ILR-FR sheet)</t>
  </si>
  <si>
    <t>Annual growth rate (from ILR-FR sheet)</t>
  </si>
  <si>
    <t>HMIS data collections per facility per year (#)</t>
  </si>
  <si>
    <t>In addition to the SHR data feed, how many times per year will each facility need to upload "tally sheet" data to the HMIS?</t>
  </si>
  <si>
    <t>What will each upload cost (e.g. labour cost plus transmission cost per tally and upload)?</t>
  </si>
  <si>
    <t>Data collection Interactions (#)</t>
  </si>
  <si>
    <t>Interaction costs ($)</t>
  </si>
  <si>
    <t>Database API costs ($)</t>
  </si>
  <si>
    <t>NOTE: it is assumed that there will be three main areas of digital health capacity-building investment:</t>
  </si>
  <si>
    <t>1. Education regarding data use (each health worker, HW)</t>
  </si>
  <si>
    <r>
      <t xml:space="preserve">2. Training regarding solution software use (each facility) </t>
    </r>
    <r>
      <rPr>
        <b/>
        <sz val="11"/>
        <color rgb="FFFF0000"/>
        <rFont val="Calibri"/>
        <family val="2"/>
        <scheme val="minor"/>
      </rPr>
      <t>NOTE: this cost is included in the per-facility costs on the SHR tab</t>
    </r>
  </si>
  <si>
    <t>3. Degree-granting academic programmes in health informatics (each degree-granting programme)</t>
  </si>
  <si>
    <t>Initial cost: HW education in data use ($/HW)</t>
  </si>
  <si>
    <t>Cost per HW of in-person or online course in data use</t>
  </si>
  <si>
    <t>Annual refresher cost: HW education in data use ($/HW)</t>
  </si>
  <si>
    <t>Cost per HW of in-person or online annual refresher course</t>
  </si>
  <si>
    <t>Setup cost: academic HI programme ($/institution)</t>
  </si>
  <si>
    <t>Cost to establish a new health informatics curriculum at an academic institution</t>
  </si>
  <si>
    <t>Annual cost (net): academic HI programme ($/institution)</t>
  </si>
  <si>
    <t>Annual cost, net of student tuition fees, of operating the HI programme</t>
  </si>
  <si>
    <t>HW to receive initial data use education (#)</t>
  </si>
  <si>
    <t>HW to receive refresher data use education (#)</t>
  </si>
  <si>
    <r>
      <t xml:space="preserve">Insert, for each year, the number of </t>
    </r>
    <r>
      <rPr>
        <b/>
        <i/>
        <sz val="11"/>
        <color rgb="FFFF0000"/>
        <rFont val="Calibri"/>
        <family val="2"/>
        <scheme val="minor"/>
      </rPr>
      <t>new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academic programmes to be launched</t>
    </r>
  </si>
  <si>
    <t>New academic programme introduced (#)</t>
  </si>
  <si>
    <t>Running total of academic HI programmes (#)</t>
  </si>
  <si>
    <t>HW data use education - initial ($)</t>
  </si>
  <si>
    <t>HW data use education - refresher ($)</t>
  </si>
  <si>
    <t>Academic programme - setup ($)</t>
  </si>
  <si>
    <t>Academic programmes - net operating ($)</t>
  </si>
  <si>
    <t>Annual population increase (%)</t>
  </si>
  <si>
    <t>Target cost/QALY (CET)</t>
  </si>
  <si>
    <t>***Use GDP per capita in USD as the Cost Effectiveness Threshold (CET)</t>
  </si>
  <si>
    <t>Interventions</t>
  </si>
  <si>
    <t>Malaria</t>
  </si>
  <si>
    <t>Ischemic Heart D.</t>
  </si>
  <si>
    <t>Neonat. Disorders</t>
  </si>
  <si>
    <t>Diarrheal Dis.</t>
  </si>
  <si>
    <t>L. Resp. Infect.</t>
  </si>
  <si>
    <t>Total QALYs</t>
  </si>
  <si>
    <t>Running Total</t>
  </si>
  <si>
    <t>Potential Health Impact (QALYs)</t>
  </si>
  <si>
    <t>NOTE: obtain QALY figures from IHME for country of interest</t>
  </si>
  <si>
    <t>Lead time (years before benefit)</t>
  </si>
  <si>
    <t>Benefit realization  (%)</t>
  </si>
  <si>
    <t>YEAR (QALYs):</t>
  </si>
  <si>
    <t xml:space="preserve">10-year QALYs </t>
  </si>
  <si>
    <t>Running total QALYs</t>
  </si>
  <si>
    <t>Total costs ($)</t>
  </si>
  <si>
    <t>Running total costs ($)</t>
  </si>
  <si>
    <t>Cost per QALY</t>
  </si>
  <si>
    <t>Running cost per QALY</t>
  </si>
  <si>
    <t>CET / Cost per QALY</t>
  </si>
  <si>
    <t>Cost per QALY / CET</t>
  </si>
  <si>
    <t>CET / Running Cost per QALY</t>
  </si>
  <si>
    <t>Running Cost per QALY / 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</si>
</sst>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_(* #,##0_);_(* \(#,##0\);_(* &quot;-&quot;?_);_(@_)"/>
    <numFmt numFmtId="168" formatCode="_(* #,##0.0_);_(* \(#,##0.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0" borderId="0" xfId="3" applyFont="1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0" xfId="1" applyNumberFormat="1" applyFont="1"/>
    <xf numFmtId="164" fontId="2" fillId="0" borderId="1" xfId="1" applyNumberFormat="1" applyFont="1" applyBorder="1"/>
    <xf numFmtId="0" fontId="2" fillId="0" borderId="2" xfId="0" applyFont="1" applyBorder="1"/>
    <xf numFmtId="164" fontId="3" fillId="0" borderId="0" xfId="1" applyNumberFormat="1" applyFont="1"/>
    <xf numFmtId="9" fontId="3" fillId="0" borderId="0" xfId="3" applyFont="1"/>
    <xf numFmtId="0" fontId="3" fillId="0" borderId="0" xfId="0" applyFont="1"/>
    <xf numFmtId="165" fontId="3" fillId="0" borderId="0" xfId="2" applyNumberFormat="1" applyFont="1"/>
    <xf numFmtId="165" fontId="2" fillId="0" borderId="0" xfId="2" applyNumberFormat="1" applyFont="1"/>
    <xf numFmtId="165" fontId="2" fillId="0" borderId="1" xfId="2" applyNumberFormat="1" applyFont="1" applyBorder="1"/>
    <xf numFmtId="165" fontId="0" fillId="0" borderId="0" xfId="2" applyNumberFormat="1" applyFont="1"/>
    <xf numFmtId="165" fontId="2" fillId="0" borderId="0" xfId="0" applyNumberFormat="1" applyFont="1"/>
    <xf numFmtId="164" fontId="5" fillId="0" borderId="0" xfId="1" applyNumberFormat="1" applyFont="1"/>
    <xf numFmtId="165" fontId="2" fillId="0" borderId="0" xfId="2" applyNumberFormat="1" applyFont="1" applyBorder="1"/>
    <xf numFmtId="0" fontId="0" fillId="0" borderId="0" xfId="0" applyAlignment="1">
      <alignment horizontal="left" indent="1"/>
    </xf>
    <xf numFmtId="164" fontId="2" fillId="0" borderId="0" xfId="1" applyNumberFormat="1" applyFont="1" applyBorder="1"/>
    <xf numFmtId="0" fontId="2" fillId="2" borderId="2" xfId="0" applyFont="1" applyFill="1" applyBorder="1" applyAlignment="1">
      <alignment horizontal="right"/>
    </xf>
    <xf numFmtId="0" fontId="0" fillId="2" borderId="0" xfId="0" applyFill="1"/>
    <xf numFmtId="164" fontId="0" fillId="2" borderId="0" xfId="1" applyNumberFormat="1" applyFont="1" applyFill="1"/>
    <xf numFmtId="165" fontId="0" fillId="2" borderId="0" xfId="2" applyNumberFormat="1" applyFont="1" applyFill="1"/>
    <xf numFmtId="165" fontId="0" fillId="2" borderId="0" xfId="0" applyNumberFormat="1" applyFill="1"/>
    <xf numFmtId="164" fontId="4" fillId="0" borderId="0" xfId="1" applyNumberFormat="1" applyFont="1" applyFill="1"/>
    <xf numFmtId="0" fontId="2" fillId="3" borderId="2" xfId="0" applyFont="1" applyFill="1" applyBorder="1" applyAlignment="1">
      <alignment horizontal="right"/>
    </xf>
    <xf numFmtId="0" fontId="0" fillId="3" borderId="0" xfId="0" applyFill="1"/>
    <xf numFmtId="164" fontId="0" fillId="3" borderId="0" xfId="1" applyNumberFormat="1" applyFont="1" applyFill="1"/>
    <xf numFmtId="165" fontId="0" fillId="3" borderId="0" xfId="2" applyNumberFormat="1" applyFont="1" applyFill="1"/>
    <xf numFmtId="165" fontId="0" fillId="3" borderId="0" xfId="0" applyNumberFormat="1" applyFill="1"/>
    <xf numFmtId="0" fontId="2" fillId="4" borderId="2" xfId="0" applyFont="1" applyFill="1" applyBorder="1" applyAlignment="1">
      <alignment horizontal="right"/>
    </xf>
    <xf numFmtId="0" fontId="0" fillId="4" borderId="0" xfId="0" applyFill="1"/>
    <xf numFmtId="164" fontId="0" fillId="4" borderId="0" xfId="1" applyNumberFormat="1" applyFont="1" applyFill="1"/>
    <xf numFmtId="165" fontId="0" fillId="4" borderId="0" xfId="2" applyNumberFormat="1" applyFont="1" applyFill="1"/>
    <xf numFmtId="165" fontId="0" fillId="4" borderId="0" xfId="0" applyNumberFormat="1" applyFill="1"/>
    <xf numFmtId="0" fontId="2" fillId="5" borderId="2" xfId="0" applyFont="1" applyFill="1" applyBorder="1" applyAlignment="1">
      <alignment horizontal="right"/>
    </xf>
    <xf numFmtId="0" fontId="0" fillId="5" borderId="0" xfId="0" applyFill="1"/>
    <xf numFmtId="164" fontId="0" fillId="5" borderId="0" xfId="1" applyNumberFormat="1" applyFont="1" applyFill="1"/>
    <xf numFmtId="165" fontId="0" fillId="5" borderId="0" xfId="2" applyNumberFormat="1" applyFont="1" applyFill="1"/>
    <xf numFmtId="165" fontId="0" fillId="5" borderId="0" xfId="0" applyNumberFormat="1" applyFill="1"/>
    <xf numFmtId="165" fontId="0" fillId="0" borderId="0" xfId="0" applyNumberFormat="1"/>
    <xf numFmtId="166" fontId="4" fillId="0" borderId="0" xfId="3" applyNumberFormat="1" applyFont="1" applyFill="1"/>
    <xf numFmtId="164" fontId="4" fillId="0" borderId="0" xfId="1" applyNumberFormat="1" applyFont="1"/>
    <xf numFmtId="164" fontId="2" fillId="0" borderId="0" xfId="1" applyNumberFormat="1" applyFont="1"/>
    <xf numFmtId="9" fontId="4" fillId="0" borderId="0" xfId="3" applyFont="1"/>
    <xf numFmtId="165" fontId="1" fillId="0" borderId="0" xfId="2" applyNumberFormat="1" applyFont="1"/>
    <xf numFmtId="166" fontId="0" fillId="0" borderId="0" xfId="3" applyNumberFormat="1" applyFont="1"/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43" fontId="0" fillId="0" borderId="0" xfId="0" applyNumberFormat="1"/>
    <xf numFmtId="165" fontId="2" fillId="0" borderId="1" xfId="0" applyNumberFormat="1" applyFont="1" applyBorder="1"/>
    <xf numFmtId="0" fontId="2" fillId="0" borderId="2" xfId="0" applyFont="1" applyBorder="1" applyAlignment="1">
      <alignment horizontal="right"/>
    </xf>
    <xf numFmtId="44" fontId="0" fillId="0" borderId="0" xfId="2" applyFont="1"/>
    <xf numFmtId="43" fontId="0" fillId="0" borderId="0" xfId="1" applyFont="1"/>
    <xf numFmtId="166" fontId="5" fillId="0" borderId="0" xfId="3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166" fontId="4" fillId="0" borderId="0" xfId="3" applyNumberFormat="1" applyFont="1"/>
    <xf numFmtId="10" fontId="2" fillId="0" borderId="0" xfId="3" applyNumberFormat="1" applyFont="1"/>
    <xf numFmtId="0" fontId="0" fillId="0" borderId="0" xfId="0" applyAlignment="1">
      <alignment horizontal="right"/>
    </xf>
    <xf numFmtId="0" fontId="5" fillId="0" borderId="0" xfId="0" applyFont="1"/>
    <xf numFmtId="0" fontId="2" fillId="0" borderId="0" xfId="0" applyFont="1" applyAlignment="1">
      <alignment horizontal="left"/>
    </xf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1" xfId="0" applyBorder="1"/>
    <xf numFmtId="0" fontId="2" fillId="0" borderId="3" xfId="0" applyFont="1" applyBorder="1"/>
    <xf numFmtId="165" fontId="0" fillId="0" borderId="0" xfId="2" applyNumberFormat="1" applyFont="1" applyBorder="1"/>
    <xf numFmtId="165" fontId="4" fillId="0" borderId="0" xfId="2" applyNumberFormat="1" applyFont="1"/>
    <xf numFmtId="0" fontId="6" fillId="0" borderId="1" xfId="0" applyFont="1" applyBorder="1" applyAlignment="1">
      <alignment horizontal="right"/>
    </xf>
    <xf numFmtId="165" fontId="0" fillId="0" borderId="0" xfId="2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6" xfId="0" applyBorder="1"/>
    <xf numFmtId="165" fontId="0" fillId="0" borderId="6" xfId="0" applyNumberFormat="1" applyBorder="1"/>
    <xf numFmtId="0" fontId="5" fillId="0" borderId="6" xfId="0" applyFont="1" applyBorder="1"/>
    <xf numFmtId="165" fontId="0" fillId="0" borderId="7" xfId="0" applyNumberFormat="1" applyBorder="1"/>
    <xf numFmtId="165" fontId="2" fillId="0" borderId="4" xfId="0" applyNumberFormat="1" applyFont="1" applyBorder="1"/>
    <xf numFmtId="164" fontId="0" fillId="0" borderId="0" xfId="0" applyNumberFormat="1"/>
    <xf numFmtId="164" fontId="2" fillId="0" borderId="1" xfId="0" applyNumberFormat="1" applyFont="1" applyBorder="1"/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7" fillId="0" borderId="0" xfId="0" applyFont="1"/>
    <xf numFmtId="164" fontId="2" fillId="0" borderId="0" xfId="0" applyNumberFormat="1" applyFont="1"/>
    <xf numFmtId="168" fontId="2" fillId="0" borderId="0" xfId="1" applyNumberFormat="1" applyFont="1"/>
    <xf numFmtId="168" fontId="2" fillId="0" borderId="0" xfId="0" applyNumberFormat="1" applyFont="1"/>
    <xf numFmtId="166" fontId="0" fillId="0" borderId="0" xfId="0" applyNumberFormat="1" applyAlignment="1">
      <alignment horizontal="right"/>
    </xf>
    <xf numFmtId="165" fontId="3" fillId="7" borderId="8" xfId="2" applyNumberFormat="1" applyFont="1" applyFill="1" applyBorder="1"/>
    <xf numFmtId="0" fontId="9" fillId="0" borderId="0" xfId="0" applyFont="1"/>
    <xf numFmtId="165" fontId="0" fillId="0" borderId="0" xfId="2" applyNumberFormat="1" applyFont="1" applyFill="1"/>
    <xf numFmtId="165" fontId="3" fillId="0" borderId="2" xfId="2" applyNumberFormat="1" applyFont="1" applyFill="1" applyBorder="1"/>
    <xf numFmtId="164" fontId="3" fillId="0" borderId="2" xfId="1" applyNumberFormat="1" applyFont="1" applyFill="1" applyBorder="1"/>
    <xf numFmtId="0" fontId="0" fillId="0" borderId="0" xfId="0" applyAlignment="1">
      <alignment horizontal="left"/>
    </xf>
    <xf numFmtId="0" fontId="6" fillId="0" borderId="0" xfId="0" applyFont="1" applyAlignment="1">
      <alignment horizontal="left" indent="1"/>
    </xf>
    <xf numFmtId="164" fontId="6" fillId="0" borderId="0" xfId="1" applyNumberFormat="1" applyFont="1"/>
    <xf numFmtId="165" fontId="2" fillId="2" borderId="0" xfId="0" applyNumberFormat="1" applyFont="1" applyFill="1"/>
    <xf numFmtId="9" fontId="2" fillId="2" borderId="0" xfId="3" applyFont="1" applyFill="1"/>
    <xf numFmtId="44" fontId="3" fillId="7" borderId="8" xfId="2" applyFont="1" applyFill="1" applyBorder="1"/>
    <xf numFmtId="9" fontId="3" fillId="7" borderId="8" xfId="3" applyFont="1" applyFill="1" applyBorder="1"/>
    <xf numFmtId="165" fontId="3" fillId="7" borderId="9" xfId="2" applyNumberFormat="1" applyFont="1" applyFill="1" applyBorder="1"/>
    <xf numFmtId="164" fontId="3" fillId="7" borderId="8" xfId="1" applyNumberFormat="1" applyFont="1" applyFill="1" applyBorder="1"/>
    <xf numFmtId="0" fontId="3" fillId="7" borderId="8" xfId="0" applyFont="1" applyFill="1" applyBorder="1" applyAlignment="1">
      <alignment horizontal="right"/>
    </xf>
    <xf numFmtId="165" fontId="3" fillId="7" borderId="8" xfId="2" applyNumberFormat="1" applyFont="1" applyFill="1" applyBorder="1" applyAlignment="1">
      <alignment horizontal="right"/>
    </xf>
    <xf numFmtId="0" fontId="2" fillId="6" borderId="5" xfId="0" applyFont="1" applyFill="1" applyBorder="1" applyAlignment="1">
      <alignment horizontal="right"/>
    </xf>
    <xf numFmtId="0" fontId="2" fillId="6" borderId="0" xfId="0" applyFont="1" applyFill="1" applyAlignment="1">
      <alignment horizontal="right"/>
    </xf>
    <xf numFmtId="0" fontId="3" fillId="7" borderId="8" xfId="0" applyFont="1" applyFill="1" applyBorder="1"/>
    <xf numFmtId="166" fontId="3" fillId="7" borderId="8" xfId="3" applyNumberFormat="1" applyFont="1" applyFill="1" applyBorder="1"/>
    <xf numFmtId="167" fontId="3" fillId="7" borderId="8" xfId="0" applyNumberFormat="1" applyFont="1" applyFill="1" applyBorder="1"/>
    <xf numFmtId="10" fontId="3" fillId="7" borderId="8" xfId="3" applyNumberFormat="1" applyFont="1" applyFill="1" applyBorder="1"/>
    <xf numFmtId="0" fontId="2" fillId="2" borderId="0" xfId="0" applyFont="1" applyFill="1" applyAlignment="1">
      <alignment horizontal="right"/>
    </xf>
    <xf numFmtId="165" fontId="2" fillId="2" borderId="3" xfId="0" applyNumberFormat="1" applyFont="1" applyFill="1" applyBorder="1"/>
    <xf numFmtId="9" fontId="2" fillId="2" borderId="0" xfId="3" applyFont="1" applyFill="1" applyBorder="1"/>
    <xf numFmtId="9" fontId="2" fillId="2" borderId="0" xfId="0" applyNumberFormat="1" applyFont="1" applyFill="1"/>
    <xf numFmtId="165" fontId="2" fillId="2" borderId="1" xfId="2" applyNumberFormat="1" applyFont="1" applyFill="1" applyBorder="1"/>
    <xf numFmtId="166" fontId="0" fillId="2" borderId="0" xfId="3" applyNumberFormat="1" applyFont="1" applyFill="1"/>
    <xf numFmtId="166" fontId="0" fillId="2" borderId="0" xfId="0" applyNumberFormat="1" applyFill="1"/>
    <xf numFmtId="164" fontId="2" fillId="2" borderId="0" xfId="1" applyNumberFormat="1" applyFont="1" applyFill="1" applyBorder="1"/>
    <xf numFmtId="164" fontId="2" fillId="3" borderId="0" xfId="1" applyNumberFormat="1" applyFont="1" applyFill="1"/>
    <xf numFmtId="164" fontId="2" fillId="4" borderId="0" xfId="1" applyNumberFormat="1" applyFont="1" applyFill="1"/>
    <xf numFmtId="164" fontId="2" fillId="5" borderId="0" xfId="1" applyNumberFormat="1" applyFont="1" applyFill="1"/>
    <xf numFmtId="0" fontId="2" fillId="8" borderId="0" xfId="0" applyFont="1" applyFill="1"/>
    <xf numFmtId="0" fontId="0" fillId="0" borderId="10" xfId="0" applyBorder="1"/>
    <xf numFmtId="165" fontId="0" fillId="0" borderId="1" xfId="2" applyNumberFormat="1" applyFont="1" applyBorder="1"/>
    <xf numFmtId="165" fontId="0" fillId="0" borderId="11" xfId="2" applyNumberFormat="1" applyFont="1" applyBorder="1"/>
    <xf numFmtId="0" fontId="0" fillId="2" borderId="3" xfId="0" applyFill="1" applyBorder="1"/>
    <xf numFmtId="165" fontId="0" fillId="2" borderId="12" xfId="0" applyNumberFormat="1" applyFill="1" applyBorder="1"/>
    <xf numFmtId="0" fontId="0" fillId="3" borderId="3" xfId="0" applyFill="1" applyBorder="1"/>
    <xf numFmtId="165" fontId="0" fillId="3" borderId="12" xfId="0" applyNumberFormat="1" applyFill="1" applyBorder="1"/>
    <xf numFmtId="0" fontId="0" fillId="4" borderId="3" xfId="0" applyFill="1" applyBorder="1"/>
    <xf numFmtId="165" fontId="0" fillId="4" borderId="12" xfId="0" applyNumberFormat="1" applyFill="1" applyBorder="1"/>
    <xf numFmtId="0" fontId="0" fillId="5" borderId="13" xfId="0" applyFill="1" applyBorder="1"/>
    <xf numFmtId="165" fontId="0" fillId="5" borderId="2" xfId="0" applyNumberFormat="1" applyFill="1" applyBorder="1"/>
    <xf numFmtId="165" fontId="0" fillId="5" borderId="14" xfId="0" applyNumberFormat="1" applyFill="1" applyBorder="1"/>
    <xf numFmtId="0" fontId="3" fillId="7" borderId="0" xfId="0" applyFont="1" applyFill="1" applyAlignment="1">
      <alignment horizontal="right"/>
    </xf>
    <xf numFmtId="165" fontId="3" fillId="7" borderId="0" xfId="2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0" fontId="3" fillId="7" borderId="15" xfId="0" applyFont="1" applyFill="1" applyBorder="1"/>
    <xf numFmtId="0" fontId="3" fillId="7" borderId="16" xfId="0" applyFont="1" applyFill="1" applyBorder="1"/>
    <xf numFmtId="0" fontId="5" fillId="0" borderId="16" xfId="0" applyFont="1" applyBorder="1"/>
    <xf numFmtId="9" fontId="1" fillId="2" borderId="0" xfId="3" applyFont="1" applyFill="1"/>
    <xf numFmtId="0" fontId="2" fillId="9" borderId="0" xfId="0" applyFont="1" applyFill="1" applyAlignment="1">
      <alignment horizontal="right"/>
    </xf>
    <xf numFmtId="165" fontId="2" fillId="9" borderId="0" xfId="3" applyNumberFormat="1" applyFont="1" applyFill="1"/>
    <xf numFmtId="9" fontId="2" fillId="9" borderId="0" xfId="3" applyFont="1" applyFill="1"/>
    <xf numFmtId="0" fontId="2" fillId="6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CUA!$A$30</c:f>
              <c:strCache>
                <c:ptCount val="1"/>
                <c:pt idx="0">
                  <c:v>CET / Running Cost per QALY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CUA!$B$30:$K$30</c:f>
              <c:numCache>
                <c:formatCode>_(* #,##0.00_);_(* \(#,##0.00\);_(* "-"??_);_(@_)</c:formatCode>
                <c:ptCount val="10"/>
                <c:pt idx="0">
                  <c:v>1.096366692174323E-4</c:v>
                </c:pt>
                <c:pt idx="1">
                  <c:v>6.6014779239508472E-5</c:v>
                </c:pt>
                <c:pt idx="2">
                  <c:v>4.6716783781789123E-5</c:v>
                </c:pt>
                <c:pt idx="3">
                  <c:v>3.4466017636962303E-5</c:v>
                </c:pt>
                <c:pt idx="4">
                  <c:v>0.67235399272263652</c:v>
                </c:pt>
                <c:pt idx="5">
                  <c:v>1.1185695330162451</c:v>
                </c:pt>
                <c:pt idx="6">
                  <c:v>1.4424805008873876</c:v>
                </c:pt>
                <c:pt idx="7">
                  <c:v>1.6703297754274729</c:v>
                </c:pt>
                <c:pt idx="8">
                  <c:v>1.8281852860426375</c:v>
                </c:pt>
                <c:pt idx="9">
                  <c:v>1.9246618589998159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1-4F7C-B484-789C4EC5A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432959"/>
        <c:axId val="547198223"/>
      </c:lineChart>
      <c:catAx>
        <c:axId val="557432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28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198223"/>
        <c:crosses val="autoZero"/>
        <c:auto val="1"/>
        <c:lblAlgn val="ctr"/>
        <c:lblOffset val="100"/>
        <c:noMultiLvlLbl val="0"/>
      </c:catAx>
      <c:valAx>
        <c:axId val="54719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2800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3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6CB8CC-A0B3-4008-95D6-2BC84AD8883F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496B5-6056-499A-A333-46C71E7462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0.16619</cdr:x>
      <cdr:y>0.55001</cdr:y>
    </cdr:from>
    <cdr:to>
      <cdr:x>0.97276</cdr:x>
      <cdr:y>0.55131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9C60939-6204-4740-9083-009B2759A84B}"/>
            </a:ext>
          </a:extLst>
        </cdr:cNvPr>
        <cdr:cNvCxnSpPr/>
      </cdr:nvCxnSpPr>
      <cdr:spPr>
        <a:xfrm xmlns:a="http://schemas.openxmlformats.org/drawingml/2006/main">
          <a:off x="1441077" y="3461273"/>
          <a:ext cx="6993796" cy="8181"/>
        </a:xfrm>
        <a:prstGeom xmlns:a="http://schemas.openxmlformats.org/drawingml/2006/main" prst="line">
          <a:avLst/>
        </a:prstGeom>
        <a:ln xmlns:a="http://schemas.openxmlformats.org/drawingml/2006/main" w="5715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0.72919</cdr:x>
      <cdr:y>0.48684</cdr:y>
    </cdr:from>
    <cdr:to>
      <cdr:x>0.98459</cdr:x>
      <cdr:y>0.63214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317A6CB-4E8E-4A11-B5F3-450B4AC37069}"/>
            </a:ext>
          </a:extLst>
        </cdr:cNvPr>
        <cdr:cNvSpPr txBox="1"/>
      </cdr:nvSpPr>
      <cdr:spPr>
        <a:xfrm xmlns:a="http://schemas.openxmlformats.org/drawingml/2006/main">
          <a:off x="6322834" y="3063691"/>
          <a:ext cx="2214582" cy="914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CA" sz="1400" b="1">
              <a:solidFill>
                <a:srgbClr val="FF0000"/>
              </a:solidFill>
            </a:rPr>
            <a:t>Cost-effective</a:t>
          </a:r>
        </a:p>
        <a:p xmlns:a="http://schemas.openxmlformats.org/drawingml/2006/main">
          <a:pPr algn="r"/>
          <a:endParaRPr lang="en-CA" sz="1400" b="1">
            <a:solidFill>
              <a:srgbClr val="FF0000"/>
            </a:solidFill>
          </a:endParaRPr>
        </a:p>
        <a:p xmlns:a="http://schemas.openxmlformats.org/drawingml/2006/main">
          <a:pPr algn="r"/>
          <a:r>
            <a:rPr lang="en-CA" sz="1400" b="1">
              <a:solidFill>
                <a:srgbClr val="FF0000"/>
              </a:solidFill>
            </a:rPr>
            <a:t>Not cost-effective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3"/>
  <sheetViews>
    <sheetView tabSelected="1" zoomScaleNormal="100" workbookViewId="0">
      <selection activeCell="A15" sqref="A15"/>
    </sheetView>
  </sheetViews>
  <sheetFormatPr defaultRowHeight="15"/>
  <cols>
    <col min="1" max="1" width="40.7109375" customWidth="1"/>
    <col min="2" max="12" width="14.7109375" customWidth="1"/>
  </cols>
  <sheetData>
    <row r="2" spans="1:13">
      <c r="A2" t="s">
        <v>0</v>
      </c>
      <c r="B2" s="106">
        <v>0.09</v>
      </c>
      <c r="C2" s="57" t="s">
        <v>1</v>
      </c>
    </row>
    <row r="3" spans="1:13">
      <c r="B3" s="8"/>
      <c r="C3" s="47" t="s">
        <v>2</v>
      </c>
      <c r="D3" s="48" t="s">
        <v>3</v>
      </c>
      <c r="E3" s="49" t="s">
        <v>4</v>
      </c>
      <c r="F3" s="50" t="s">
        <v>5</v>
      </c>
      <c r="G3" s="57" t="s">
        <v>6</v>
      </c>
    </row>
    <row r="4" spans="1:13">
      <c r="B4" s="9"/>
      <c r="C4" s="56">
        <f>C5/B5</f>
        <v>5.2114353782013101E-3</v>
      </c>
      <c r="D4" s="56">
        <f>D5/B5</f>
        <v>1.4740917212626563E-2</v>
      </c>
      <c r="E4" s="56">
        <f>E5/B5</f>
        <v>0.1841870160810006</v>
      </c>
      <c r="F4" s="46">
        <f>F5/B5</f>
        <v>0.79586063132817153</v>
      </c>
    </row>
    <row r="5" spans="1:13">
      <c r="A5" t="s">
        <v>7</v>
      </c>
      <c r="B5" s="15">
        <f>C5+D5+E5+F5</f>
        <v>6716</v>
      </c>
      <c r="C5" s="107">
        <v>35</v>
      </c>
      <c r="D5" s="107">
        <v>99</v>
      </c>
      <c r="E5" s="107">
        <v>1237</v>
      </c>
      <c r="F5" s="107">
        <v>5345</v>
      </c>
      <c r="G5" s="82" t="s">
        <v>8</v>
      </c>
    </row>
    <row r="6" spans="1:13">
      <c r="A6" t="s">
        <v>9</v>
      </c>
      <c r="B6" s="106">
        <v>0.01</v>
      </c>
      <c r="C6" s="57" t="s">
        <v>10</v>
      </c>
    </row>
    <row r="7" spans="1:13">
      <c r="A7" t="s">
        <v>11</v>
      </c>
      <c r="B7" s="100">
        <v>15100000</v>
      </c>
      <c r="C7" s="82" t="s">
        <v>12</v>
      </c>
    </row>
    <row r="8" spans="1:13">
      <c r="A8" t="s">
        <v>13</v>
      </c>
      <c r="B8" s="106">
        <v>2.5999999999999999E-2</v>
      </c>
    </row>
    <row r="9" spans="1:13">
      <c r="A9" t="s">
        <v>14</v>
      </c>
      <c r="B9" s="100">
        <v>20605</v>
      </c>
      <c r="C9" s="82" t="s">
        <v>15</v>
      </c>
    </row>
    <row r="10" spans="1:13">
      <c r="A10" t="s">
        <v>16</v>
      </c>
      <c r="B10" s="106">
        <v>2.5999999999999999E-2</v>
      </c>
      <c r="C10" s="57" t="s">
        <v>17</v>
      </c>
    </row>
    <row r="11" spans="1:13">
      <c r="B11" s="44"/>
    </row>
    <row r="12" spans="1:13">
      <c r="A12" s="2" t="s">
        <v>18</v>
      </c>
      <c r="B12" s="69">
        <f>Governance!F38</f>
        <v>375000</v>
      </c>
      <c r="C12" s="57" t="s">
        <v>19</v>
      </c>
    </row>
    <row r="14" spans="1:13">
      <c r="A14" s="2" t="s">
        <v>20</v>
      </c>
      <c r="B14" s="6">
        <v>1</v>
      </c>
      <c r="C14" s="6">
        <v>2</v>
      </c>
      <c r="D14" s="6">
        <v>3</v>
      </c>
      <c r="E14" s="6">
        <v>4</v>
      </c>
      <c r="F14" s="6">
        <v>5</v>
      </c>
      <c r="G14" s="6">
        <v>6</v>
      </c>
      <c r="H14" s="6">
        <v>7</v>
      </c>
      <c r="I14" s="6">
        <v>8</v>
      </c>
      <c r="J14" s="6">
        <v>9</v>
      </c>
      <c r="K14" s="6">
        <v>10</v>
      </c>
      <c r="L14" s="19" t="s">
        <v>21</v>
      </c>
    </row>
    <row r="15" spans="1:13">
      <c r="A15" t="s">
        <v>22</v>
      </c>
      <c r="B15" s="68">
        <f>Governance!G35</f>
        <v>165000</v>
      </c>
      <c r="C15" s="68">
        <f>Governance!H35</f>
        <v>179850</v>
      </c>
      <c r="D15" s="68">
        <f>Governance!I35</f>
        <v>196036.50000000003</v>
      </c>
      <c r="E15" s="68">
        <f>Governance!J35</f>
        <v>213679.78500000003</v>
      </c>
      <c r="F15" s="68">
        <f>Governance!K35</f>
        <v>628153.81645000016</v>
      </c>
      <c r="G15" s="68">
        <f>Governance!L35</f>
        <v>253872.95255850008</v>
      </c>
      <c r="H15" s="68">
        <f>Governance!M35</f>
        <v>276721.5182887651</v>
      </c>
      <c r="I15" s="68">
        <f>Governance!N35</f>
        <v>301626.45493475394</v>
      </c>
      <c r="J15" s="68">
        <f>Governance!O35</f>
        <v>328772.83587888186</v>
      </c>
      <c r="K15" s="68">
        <f>Governance!P35</f>
        <v>966492.50935182814</v>
      </c>
      <c r="L15" s="95">
        <f>SUM(B15:K15)</f>
        <v>3510206.372462729</v>
      </c>
      <c r="M15" s="114">
        <f t="shared" ref="M15:M23" ca="1" si="0">L15/$L$24</f>
        <v>2.7523471948958832E-2</v>
      </c>
    </row>
    <row r="16" spans="1:13">
      <c r="A16" t="s">
        <v>23</v>
      </c>
      <c r="B16" s="45">
        <f>Datacentre!B33</f>
        <v>740000</v>
      </c>
      <c r="C16" s="45">
        <f>Datacentre!C33</f>
        <v>261600.00000000003</v>
      </c>
      <c r="D16" s="45">
        <f>Datacentre!D33</f>
        <v>285144.00000000006</v>
      </c>
      <c r="E16" s="45">
        <f>Datacentre!E33</f>
        <v>310806.96000000002</v>
      </c>
      <c r="F16" s="45">
        <f>Datacentre!F33</f>
        <v>338779.58640000009</v>
      </c>
      <c r="G16" s="45">
        <f>Datacentre!G33</f>
        <v>369269.74917600013</v>
      </c>
      <c r="H16" s="45">
        <f>Datacentre!H33</f>
        <v>402504.02660184016</v>
      </c>
      <c r="I16" s="45">
        <f>Datacentre!I33</f>
        <v>438729.38899600576</v>
      </c>
      <c r="J16" s="45">
        <f>Datacentre!J33</f>
        <v>478215.0340056463</v>
      </c>
      <c r="K16" s="45">
        <f>Datacentre!K33</f>
        <v>521254.38706615451</v>
      </c>
      <c r="L16" s="95">
        <f>SUM(B16:K16)</f>
        <v>4146303.1322456468</v>
      </c>
      <c r="M16" s="114">
        <f t="shared" ca="1" si="0"/>
        <v>3.2511096455043235E-2</v>
      </c>
    </row>
    <row r="17" spans="1:13">
      <c r="A17" t="s">
        <v>24</v>
      </c>
      <c r="B17" s="45">
        <f>CR!B27</f>
        <v>2029980</v>
      </c>
      <c r="C17" s="45">
        <f ca="1">CR!C27</f>
        <v>932442.20040000009</v>
      </c>
      <c r="D17" s="45">
        <f ca="1">CR!D27</f>
        <v>1017376.8028353362</v>
      </c>
      <c r="E17" s="45">
        <f ca="1">CR!E27</f>
        <v>1110075.61144247</v>
      </c>
      <c r="F17" s="45">
        <f ca="1">CR!F27</f>
        <v>1211251.6164585357</v>
      </c>
      <c r="G17" s="45">
        <f ca="1">CR!G27</f>
        <v>2525164.544096102</v>
      </c>
      <c r="H17" s="45">
        <f ca="1">CR!H27</f>
        <v>1488135.3526984768</v>
      </c>
      <c r="I17" s="45">
        <f ca="1">CR!I27</f>
        <v>1625143.9208364352</v>
      </c>
      <c r="J17" s="45">
        <f ca="1">CR!J27</f>
        <v>1774847.3196728062</v>
      </c>
      <c r="K17" s="45">
        <f ca="1">CR!K27</f>
        <v>1938431.1667794858</v>
      </c>
      <c r="L17" s="95">
        <f t="shared" ref="L17:L23" ca="1" si="1">SUM(B17:K17)</f>
        <v>15652848.535219651</v>
      </c>
      <c r="M17" s="114">
        <f t="shared" ca="1" si="0"/>
        <v>0.12273373467730317</v>
      </c>
    </row>
    <row r="18" spans="1:13">
      <c r="A18" t="s">
        <v>25</v>
      </c>
      <c r="B18" s="45">
        <f>'ILR-FR'!B18</f>
        <v>87160</v>
      </c>
      <c r="C18" s="45">
        <f>'ILR-FR'!C18</f>
        <v>77206.444000000018</v>
      </c>
      <c r="D18" s="45">
        <f>'ILR-FR'!D18</f>
        <v>84960.931199600003</v>
      </c>
      <c r="E18" s="45">
        <f>'ILR-FR'!E18</f>
        <v>93494.638287639667</v>
      </c>
      <c r="F18" s="45">
        <f>'ILR-FR'!F18</f>
        <v>102885.89984256252</v>
      </c>
      <c r="G18" s="45">
        <f>'ILR-FR'!G18</f>
        <v>113220.92841803009</v>
      </c>
      <c r="H18" s="45">
        <f>'ILR-FR'!H18</f>
        <v>124594.60709208407</v>
      </c>
      <c r="I18" s="45">
        <f>'ILR-FR'!I18</f>
        <v>137111.36177405089</v>
      </c>
      <c r="J18" s="45">
        <f>'ILR-FR'!J18</f>
        <v>150886.12129780193</v>
      </c>
      <c r="K18" s="45">
        <f>'ILR-FR'!K18</f>
        <v>166045.3741383669</v>
      </c>
      <c r="L18" s="95">
        <f t="shared" si="1"/>
        <v>1137566.3060501362</v>
      </c>
      <c r="M18" s="114">
        <f t="shared" ca="1" si="0"/>
        <v>8.9196391871071059E-3</v>
      </c>
    </row>
    <row r="19" spans="1:13">
      <c r="A19" t="s">
        <v>26</v>
      </c>
      <c r="B19" s="45">
        <f>'ILR-HWR'!B18</f>
        <v>287260</v>
      </c>
      <c r="C19" s="45">
        <f>'ILR-HWR'!C18</f>
        <v>283060.74840000004</v>
      </c>
      <c r="D19" s="45">
        <f>'ILR-HWR'!D18</f>
        <v>316372.81376565597</v>
      </c>
      <c r="E19" s="45">
        <f>'ILR-HWR'!E18</f>
        <v>353610.34802268381</v>
      </c>
      <c r="F19" s="45">
        <f>'ILR-HWR'!F18</f>
        <v>395236.38987652824</v>
      </c>
      <c r="G19" s="45">
        <f>'ILR-HWR'!G18</f>
        <v>441768.63891755213</v>
      </c>
      <c r="H19" s="45">
        <f>'ILR-HWR'!H18</f>
        <v>493785.91202976421</v>
      </c>
      <c r="I19" s="45">
        <f>'ILR-HWR'!I18</f>
        <v>551935.362756519</v>
      </c>
      <c r="J19" s="45">
        <f>'ILR-HWR'!J18</f>
        <v>616940.55381302186</v>
      </c>
      <c r="K19" s="45">
        <f>'ILR-HWR'!K18</f>
        <v>689610.48359966197</v>
      </c>
      <c r="L19" s="95">
        <f t="shared" si="1"/>
        <v>4429581.2511813873</v>
      </c>
      <c r="M19" s="114">
        <f t="shared" ca="1" si="0"/>
        <v>3.4732275648792894E-2</v>
      </c>
    </row>
    <row r="20" spans="1:13">
      <c r="A20" t="s">
        <v>27</v>
      </c>
      <c r="B20" s="13">
        <f>SHR!B53</f>
        <v>4387087.5</v>
      </c>
      <c r="C20" s="13">
        <f>SHR!C53</f>
        <v>5795711.7575000003</v>
      </c>
      <c r="D20" s="13">
        <f>SHR!D53</f>
        <v>6382241.5516876262</v>
      </c>
      <c r="E20" s="13">
        <f>SHR!E53</f>
        <v>8184059.5720206909</v>
      </c>
      <c r="F20" s="13">
        <f>SHR!F53</f>
        <v>5806450.8657568656</v>
      </c>
      <c r="G20" s="13">
        <f>SHR!G53</f>
        <v>6391744.7741286457</v>
      </c>
      <c r="H20" s="13">
        <f>SHR!H53</f>
        <v>7036042.9092966616</v>
      </c>
      <c r="I20" s="13">
        <f>SHR!I53</f>
        <v>7745294.12417439</v>
      </c>
      <c r="J20" s="13">
        <f>SHR!J53</f>
        <v>8526047.0903129522</v>
      </c>
      <c r="K20" s="13">
        <f>SHR!K53</f>
        <v>9385510.7817457393</v>
      </c>
      <c r="L20" s="95">
        <f t="shared" si="1"/>
        <v>69640190.926623568</v>
      </c>
      <c r="M20" s="114">
        <f t="shared" ca="1" si="0"/>
        <v>0.5460476217369219</v>
      </c>
    </row>
    <row r="21" spans="1:13">
      <c r="A21" t="s">
        <v>28</v>
      </c>
      <c r="B21" s="13">
        <f>TS!B18</f>
        <v>290000</v>
      </c>
      <c r="C21" s="13">
        <f>TS!C18</f>
        <v>84475</v>
      </c>
      <c r="D21" s="13">
        <f>TS!D18</f>
        <v>92077.750000000015</v>
      </c>
      <c r="E21" s="13">
        <f>TS!E18</f>
        <v>100364.74750000003</v>
      </c>
      <c r="F21" s="13">
        <f>TS!F18</f>
        <v>109397.57477500002</v>
      </c>
      <c r="G21" s="13">
        <f>TS!G18</f>
        <v>119243.35650475003</v>
      </c>
      <c r="H21" s="13">
        <f>TS!H18</f>
        <v>129975.25859017755</v>
      </c>
      <c r="I21" s="13">
        <f>TS!I18</f>
        <v>141673.03186329352</v>
      </c>
      <c r="J21" s="13">
        <f>TS!J18</f>
        <v>154423.60473098996</v>
      </c>
      <c r="K21" s="13">
        <f>TS!K18</f>
        <v>168321.72915677907</v>
      </c>
      <c r="L21" s="95">
        <f t="shared" si="1"/>
        <v>1389952.0531209903</v>
      </c>
      <c r="M21" s="114">
        <f t="shared" ca="1" si="0"/>
        <v>1.0898591787819311E-2</v>
      </c>
    </row>
    <row r="22" spans="1:13">
      <c r="A22" t="s">
        <v>29</v>
      </c>
      <c r="B22" s="13">
        <f>HMIS!B18</f>
        <v>855920</v>
      </c>
      <c r="C22" s="13">
        <f>HMIS!C18</f>
        <v>895412.32799999998</v>
      </c>
      <c r="D22" s="13">
        <f>HMIS!D18</f>
        <v>985670.32439520012</v>
      </c>
      <c r="E22" s="13">
        <f>HMIS!E18</f>
        <v>1085027.3329516759</v>
      </c>
      <c r="F22" s="13">
        <f>HMIS!F18</f>
        <v>1194400.7222257503</v>
      </c>
      <c r="G22" s="13">
        <f>HMIS!G18</f>
        <v>1314800.358301711</v>
      </c>
      <c r="H22" s="13">
        <f>HMIS!H18</f>
        <v>1447337.9319460408</v>
      </c>
      <c r="I22" s="13">
        <f>HMIS!I18</f>
        <v>1593237.2263453347</v>
      </c>
      <c r="J22" s="13">
        <f>HMIS!J18</f>
        <v>1753845.4202854524</v>
      </c>
      <c r="K22" s="13">
        <f>HMIS!K18</f>
        <v>1930645.5311962969</v>
      </c>
      <c r="L22" s="95">
        <f t="shared" si="1"/>
        <v>13056297.175647462</v>
      </c>
      <c r="M22" s="114">
        <f t="shared" ca="1" si="0"/>
        <v>0.10237421705182632</v>
      </c>
    </row>
    <row r="23" spans="1:13">
      <c r="A23" t="s">
        <v>30</v>
      </c>
      <c r="B23" s="13">
        <f>'HRH Capacity'!B25</f>
        <v>5751250</v>
      </c>
      <c r="C23" s="13">
        <f>'HRH Capacity'!C25</f>
        <v>1133580.925</v>
      </c>
      <c r="D23" s="13">
        <f>'HRH Capacity'!D25</f>
        <v>652055.47166450007</v>
      </c>
      <c r="E23" s="13">
        <f>'HRH Capacity'!E25</f>
        <v>722485.56538127747</v>
      </c>
      <c r="F23" s="13">
        <f>'HRH Capacity'!F25</f>
        <v>800644.28281649714</v>
      </c>
      <c r="G23" s="13">
        <f>'HRH Capacity'!G25</f>
        <v>887391.68267952162</v>
      </c>
      <c r="H23" s="13">
        <f>'HRH Capacity'!H25</f>
        <v>983684.69383144297</v>
      </c>
      <c r="I23" s="13">
        <f>'HRH Capacity'!I25</f>
        <v>1090588.1370712097</v>
      </c>
      <c r="J23" s="13">
        <f>'HRH Capacity'!J25</f>
        <v>1209287.0114754275</v>
      </c>
      <c r="K23" s="13">
        <f>'HRH Capacity'!K25</f>
        <v>1341100.1913603302</v>
      </c>
      <c r="L23" s="95">
        <f t="shared" si="1"/>
        <v>14572067.961280206</v>
      </c>
      <c r="M23" s="114">
        <f t="shared" ca="1" si="0"/>
        <v>0.11425935150622715</v>
      </c>
    </row>
    <row r="24" spans="1:13">
      <c r="A24" s="2" t="s">
        <v>31</v>
      </c>
      <c r="B24" s="12">
        <f t="shared" ref="B24:K24" si="2">SUM(B15:B23)</f>
        <v>14593657.5</v>
      </c>
      <c r="C24" s="12">
        <f t="shared" ca="1" si="2"/>
        <v>9643339.4033000004</v>
      </c>
      <c r="D24" s="12">
        <f t="shared" ca="1" si="2"/>
        <v>10011936.145547917</v>
      </c>
      <c r="E24" s="12">
        <f t="shared" ca="1" si="2"/>
        <v>12173604.560606439</v>
      </c>
      <c r="F24" s="12">
        <f t="shared" ca="1" si="2"/>
        <v>10587200.754601739</v>
      </c>
      <c r="G24" s="12">
        <f t="shared" ca="1" si="2"/>
        <v>12416476.984780811</v>
      </c>
      <c r="H24" s="12">
        <f t="shared" ca="1" si="2"/>
        <v>12382782.210375253</v>
      </c>
      <c r="I24" s="12">
        <f t="shared" ca="1" si="2"/>
        <v>13625339.008751992</v>
      </c>
      <c r="J24" s="12">
        <f t="shared" ca="1" si="2"/>
        <v>14993264.99147298</v>
      </c>
      <c r="K24" s="12">
        <f t="shared" ca="1" si="2"/>
        <v>17107412.154394642</v>
      </c>
      <c r="L24" s="113">
        <f ca="1">SUM(L15:L23)</f>
        <v>127535013.71383178</v>
      </c>
      <c r="M24" s="115">
        <f ca="1">SUM(M15:M23)</f>
        <v>0.99999999999999989</v>
      </c>
    </row>
    <row r="25" spans="1:13">
      <c r="A25" s="2" t="s">
        <v>32</v>
      </c>
      <c r="B25" s="11">
        <f>B24</f>
        <v>14593657.5</v>
      </c>
      <c r="C25" s="11">
        <f ca="1">B25+C24</f>
        <v>24236996.903300002</v>
      </c>
      <c r="D25" s="11">
        <f t="shared" ref="D25:K25" ca="1" si="3">C25+D24</f>
        <v>34248933.048847921</v>
      </c>
      <c r="E25" s="11">
        <f t="shared" ca="1" si="3"/>
        <v>46422537.609454364</v>
      </c>
      <c r="F25" s="11">
        <f t="shared" ca="1" si="3"/>
        <v>57009738.364056103</v>
      </c>
      <c r="G25" s="11">
        <f t="shared" ca="1" si="3"/>
        <v>69426215.348836914</v>
      </c>
      <c r="H25" s="11">
        <f t="shared" ca="1" si="3"/>
        <v>81808997.559212163</v>
      </c>
      <c r="I25" s="11">
        <f t="shared" ca="1" si="3"/>
        <v>95434336.567964152</v>
      </c>
      <c r="J25" s="11">
        <f t="shared" ca="1" si="3"/>
        <v>110427601.55943713</v>
      </c>
      <c r="K25" s="11">
        <f t="shared" ca="1" si="3"/>
        <v>127535013.71383177</v>
      </c>
    </row>
    <row r="26" spans="1:13">
      <c r="B26" s="1">
        <f ca="1">B24/$L$24</f>
        <v>0.11442863473356296</v>
      </c>
      <c r="C26" s="1">
        <f t="shared" ref="C26:K26" ca="1" si="4">C24/$L$24</f>
        <v>7.5613269818891576E-2</v>
      </c>
      <c r="D26" s="1">
        <f t="shared" ca="1" si="4"/>
        <v>7.8503430971616189E-2</v>
      </c>
      <c r="E26" s="1">
        <f t="shared" ca="1" si="4"/>
        <v>9.5453038394005776E-2</v>
      </c>
      <c r="F26" s="1">
        <f t="shared" ca="1" si="4"/>
        <v>8.3014071558087793E-2</v>
      </c>
      <c r="G26" s="1">
        <f t="shared" ca="1" si="4"/>
        <v>9.7357397182246785E-2</v>
      </c>
      <c r="H26" s="1">
        <f t="shared" ca="1" si="4"/>
        <v>9.7093196995769654E-2</v>
      </c>
      <c r="I26" s="1">
        <f t="shared" ca="1" si="4"/>
        <v>0.10683606495174007</v>
      </c>
      <c r="J26" s="1">
        <f t="shared" ca="1" si="4"/>
        <v>0.1175619506743103</v>
      </c>
      <c r="K26" s="1">
        <f t="shared" ca="1" si="4"/>
        <v>0.13413894471976884</v>
      </c>
    </row>
    <row r="28" spans="1:13">
      <c r="A28" t="s">
        <v>33</v>
      </c>
      <c r="B28" s="97">
        <v>71</v>
      </c>
      <c r="C28" s="57" t="s">
        <v>34</v>
      </c>
    </row>
    <row r="29" spans="1:13">
      <c r="A29" t="s">
        <v>35</v>
      </c>
      <c r="B29" s="54">
        <f ca="1">K25/B7/10</f>
        <v>0.84460273982670042</v>
      </c>
      <c r="C29" s="82" t="s">
        <v>36</v>
      </c>
    </row>
    <row r="30" spans="1:13">
      <c r="A30" t="s">
        <v>37</v>
      </c>
      <c r="B30" s="60">
        <f ca="1">B29/(B28*L32/10)</f>
        <v>7.8298349680013674E-3</v>
      </c>
      <c r="C30" s="57" t="s">
        <v>38</v>
      </c>
    </row>
    <row r="31" spans="1:13">
      <c r="K31" s="4"/>
    </row>
    <row r="32" spans="1:13" hidden="1">
      <c r="B32" s="55">
        <f>(1+$B$2)^(B14-1)</f>
        <v>1</v>
      </c>
      <c r="C32" s="55">
        <f t="shared" ref="C32:K32" si="5">(1+$B$2)^(C14-1)</f>
        <v>1.0900000000000001</v>
      </c>
      <c r="D32" s="55">
        <f t="shared" si="5"/>
        <v>1.1881000000000002</v>
      </c>
      <c r="E32" s="55">
        <f t="shared" si="5"/>
        <v>1.2950290000000002</v>
      </c>
      <c r="F32" s="55">
        <f t="shared" si="5"/>
        <v>1.4115816100000003</v>
      </c>
      <c r="G32" s="55">
        <f t="shared" si="5"/>
        <v>1.5386239549000005</v>
      </c>
      <c r="H32" s="55">
        <f t="shared" si="5"/>
        <v>1.6771001108410006</v>
      </c>
      <c r="I32" s="55">
        <f t="shared" si="5"/>
        <v>1.8280391208166906</v>
      </c>
      <c r="J32" s="55">
        <f t="shared" si="5"/>
        <v>1.9925626416901929</v>
      </c>
      <c r="K32" s="55">
        <f t="shared" si="5"/>
        <v>2.1718932794423105</v>
      </c>
      <c r="L32" s="51">
        <f>SUM(B32:K32)</f>
        <v>15.192929717690193</v>
      </c>
    </row>
    <row r="33" spans="1:1">
      <c r="A33" s="4"/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38"/>
  <sheetViews>
    <sheetView zoomScaleNormal="100" workbookViewId="0">
      <selection activeCell="D2" sqref="D2"/>
    </sheetView>
  </sheetViews>
  <sheetFormatPr defaultRowHeight="15"/>
  <cols>
    <col min="1" max="1" width="28.7109375" customWidth="1"/>
    <col min="2" max="2" width="7.85546875" style="61" customWidth="1"/>
    <col min="3" max="3" width="12.28515625" customWidth="1"/>
    <col min="4" max="4" width="17.5703125" style="61" customWidth="1"/>
    <col min="5" max="5" width="13.85546875" style="61" customWidth="1"/>
    <col min="6" max="16" width="12.7109375" customWidth="1"/>
    <col min="17" max="17" width="15.7109375" customWidth="1"/>
    <col min="18" max="18" width="10" customWidth="1"/>
  </cols>
  <sheetData>
    <row r="2" spans="1:18">
      <c r="A2" t="s">
        <v>39</v>
      </c>
      <c r="B2" s="86">
        <f>Summary!B2</f>
        <v>0.09</v>
      </c>
    </row>
    <row r="3" spans="1:18" ht="15.75" thickBot="1">
      <c r="E3" s="135"/>
      <c r="G3" s="143" t="s">
        <v>40</v>
      </c>
      <c r="H3" s="143"/>
      <c r="I3" s="143"/>
      <c r="J3" s="143"/>
      <c r="K3" s="143"/>
      <c r="L3" s="143"/>
      <c r="M3" s="143"/>
      <c r="N3" s="143"/>
      <c r="O3" s="143"/>
      <c r="P3" s="143"/>
    </row>
    <row r="4" spans="1:18">
      <c r="B4" s="64" t="s">
        <v>41</v>
      </c>
      <c r="C4" s="65" t="s">
        <v>42</v>
      </c>
      <c r="D4" s="64" t="s">
        <v>43</v>
      </c>
      <c r="E4" s="64" t="s">
        <v>44</v>
      </c>
      <c r="F4" s="103" t="s">
        <v>45</v>
      </c>
      <c r="G4" s="104">
        <v>1</v>
      </c>
      <c r="H4" s="104">
        <v>2</v>
      </c>
      <c r="I4" s="104">
        <v>3</v>
      </c>
      <c r="J4" s="104">
        <v>4</v>
      </c>
      <c r="K4" s="104">
        <v>5</v>
      </c>
      <c r="L4" s="104">
        <v>6</v>
      </c>
      <c r="M4" s="104">
        <v>7</v>
      </c>
      <c r="N4" s="104">
        <v>8</v>
      </c>
      <c r="O4" s="104">
        <v>9</v>
      </c>
      <c r="P4" s="104">
        <v>10</v>
      </c>
      <c r="Q4" s="19" t="s">
        <v>46</v>
      </c>
      <c r="R4" s="109" t="s">
        <v>47</v>
      </c>
    </row>
    <row r="5" spans="1:18">
      <c r="A5" s="2" t="s">
        <v>48</v>
      </c>
      <c r="E5" s="70" t="s">
        <v>49</v>
      </c>
      <c r="F5" s="137">
        <v>1</v>
      </c>
      <c r="G5" s="136"/>
      <c r="H5" s="105"/>
      <c r="I5" s="105"/>
      <c r="J5" s="105"/>
      <c r="K5" s="105">
        <v>1</v>
      </c>
      <c r="L5" s="105"/>
      <c r="M5" s="105"/>
      <c r="N5" s="105"/>
      <c r="O5" s="105"/>
      <c r="P5" s="105">
        <v>1</v>
      </c>
      <c r="Q5" s="67"/>
      <c r="R5" s="2"/>
    </row>
    <row r="6" spans="1:18">
      <c r="A6" s="17" t="s">
        <v>50</v>
      </c>
      <c r="B6" s="101">
        <v>40</v>
      </c>
      <c r="C6" s="62" t="s">
        <v>51</v>
      </c>
      <c r="D6" s="102">
        <v>1000</v>
      </c>
      <c r="E6" s="71">
        <f>D6*B6</f>
        <v>40000</v>
      </c>
      <c r="F6" s="73"/>
      <c r="Q6" s="67"/>
      <c r="R6" s="2"/>
    </row>
    <row r="7" spans="1:18">
      <c r="A7" s="17" t="s">
        <v>52</v>
      </c>
      <c r="B7" s="101">
        <v>1</v>
      </c>
      <c r="C7" s="62" t="s">
        <v>53</v>
      </c>
      <c r="D7" s="102">
        <v>10000</v>
      </c>
      <c r="E7" s="71">
        <f>D7*B7</f>
        <v>10000</v>
      </c>
      <c r="F7" s="73"/>
      <c r="Q7" s="67"/>
      <c r="R7" s="2"/>
    </row>
    <row r="8" spans="1:18">
      <c r="A8" s="17" t="s">
        <v>54</v>
      </c>
      <c r="B8" s="101">
        <v>4</v>
      </c>
      <c r="C8" s="62" t="s">
        <v>53</v>
      </c>
      <c r="D8" s="102">
        <v>10000</v>
      </c>
      <c r="E8" s="71">
        <f>D8*B8</f>
        <v>40000</v>
      </c>
      <c r="F8" s="73"/>
      <c r="Q8" s="67"/>
      <c r="R8" s="2"/>
    </row>
    <row r="9" spans="1:18">
      <c r="A9" t="s">
        <v>55</v>
      </c>
      <c r="E9" s="72">
        <f>SUM(E6:E8)</f>
        <v>90000</v>
      </c>
      <c r="F9" s="74">
        <f>F5*$E$9</f>
        <v>90000</v>
      </c>
      <c r="G9" s="40">
        <f>G5*$E$9*(1+$B$2)^(G$4-1)</f>
        <v>0</v>
      </c>
      <c r="H9" s="40">
        <f t="shared" ref="H9:P9" si="0">H5*$E$9*(1+$B$2)^(H$4-1)</f>
        <v>0</v>
      </c>
      <c r="I9" s="40">
        <f t="shared" si="0"/>
        <v>0</v>
      </c>
      <c r="J9" s="40">
        <f t="shared" si="0"/>
        <v>0</v>
      </c>
      <c r="K9" s="40">
        <f t="shared" si="0"/>
        <v>127042.34490000003</v>
      </c>
      <c r="L9" s="40">
        <f t="shared" si="0"/>
        <v>0</v>
      </c>
      <c r="M9" s="40">
        <f t="shared" si="0"/>
        <v>0</v>
      </c>
      <c r="N9" s="40">
        <f t="shared" si="0"/>
        <v>0</v>
      </c>
      <c r="O9" s="40">
        <f t="shared" si="0"/>
        <v>0</v>
      </c>
      <c r="P9" s="40">
        <f t="shared" si="0"/>
        <v>195470.39514980794</v>
      </c>
      <c r="Q9" s="110">
        <f>SUM(G9:P9)</f>
        <v>322512.74004980794</v>
      </c>
      <c r="R9" s="111">
        <f>Q9/$Q$35</f>
        <v>9.1878569470984106E-2</v>
      </c>
    </row>
    <row r="10" spans="1:18">
      <c r="F10" s="73"/>
      <c r="Q10" s="67"/>
      <c r="R10" s="2"/>
    </row>
    <row r="11" spans="1:18">
      <c r="A11" s="2" t="s">
        <v>56</v>
      </c>
      <c r="E11" s="135" t="s">
        <v>49</v>
      </c>
      <c r="F11" s="138">
        <v>1</v>
      </c>
      <c r="G11" s="136"/>
      <c r="H11" s="105"/>
      <c r="I11" s="105"/>
      <c r="J11" s="105"/>
      <c r="K11" s="105">
        <v>1</v>
      </c>
      <c r="L11" s="105"/>
      <c r="M11" s="105"/>
      <c r="N11" s="105"/>
      <c r="O11" s="105"/>
      <c r="P11" s="105">
        <v>1</v>
      </c>
      <c r="Q11" s="67"/>
      <c r="R11" s="2"/>
    </row>
    <row r="12" spans="1:18">
      <c r="A12" s="17" t="s">
        <v>50</v>
      </c>
      <c r="B12" s="101">
        <v>40</v>
      </c>
      <c r="C12" s="62" t="s">
        <v>51</v>
      </c>
      <c r="D12" s="102">
        <v>1000</v>
      </c>
      <c r="E12" s="71">
        <f>D12*B12</f>
        <v>40000</v>
      </c>
      <c r="F12" s="73"/>
      <c r="Q12" s="67"/>
      <c r="R12" s="2"/>
    </row>
    <row r="13" spans="1:18">
      <c r="A13" s="17" t="s">
        <v>52</v>
      </c>
      <c r="B13" s="101">
        <v>2</v>
      </c>
      <c r="C13" s="62" t="s">
        <v>53</v>
      </c>
      <c r="D13" s="102">
        <v>10000</v>
      </c>
      <c r="E13" s="71">
        <f>D13*B13</f>
        <v>20000</v>
      </c>
      <c r="F13" s="73"/>
      <c r="Q13" s="67"/>
      <c r="R13" s="2"/>
    </row>
    <row r="14" spans="1:18">
      <c r="A14" s="17" t="s">
        <v>54</v>
      </c>
      <c r="B14" s="101">
        <v>0</v>
      </c>
      <c r="C14" s="62" t="s">
        <v>53</v>
      </c>
      <c r="D14" s="102">
        <v>10000</v>
      </c>
      <c r="E14" s="71">
        <f>D14*B14</f>
        <v>0</v>
      </c>
      <c r="F14" s="73"/>
      <c r="Q14" s="67"/>
      <c r="R14" s="2"/>
    </row>
    <row r="15" spans="1:18">
      <c r="A15" t="s">
        <v>55</v>
      </c>
      <c r="E15" s="72">
        <f>SUM(E12:E14)</f>
        <v>60000</v>
      </c>
      <c r="F15" s="74">
        <f>F11*$E$15</f>
        <v>60000</v>
      </c>
      <c r="G15" s="40">
        <f>G11*$E$15*(1+$B$2)^(G$4-1)</f>
        <v>0</v>
      </c>
      <c r="H15" s="40">
        <f t="shared" ref="H15:P15" si="1">H11*$E$15*(1+$B$2)^(H$4-1)</f>
        <v>0</v>
      </c>
      <c r="I15" s="40">
        <f t="shared" si="1"/>
        <v>0</v>
      </c>
      <c r="J15" s="40">
        <f t="shared" si="1"/>
        <v>0</v>
      </c>
      <c r="K15" s="40">
        <f t="shared" si="1"/>
        <v>84694.896600000022</v>
      </c>
      <c r="L15" s="40">
        <f t="shared" si="1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130313.59676653863</v>
      </c>
      <c r="Q15" s="110">
        <f>SUM(G15:P15)</f>
        <v>215008.49336653866</v>
      </c>
      <c r="R15" s="111">
        <f>Q15/$Q$35</f>
        <v>6.1252379647322747E-2</v>
      </c>
    </row>
    <row r="16" spans="1:18">
      <c r="F16" s="73"/>
      <c r="Q16" s="67"/>
    </row>
    <row r="17" spans="1:18">
      <c r="A17" s="2" t="s">
        <v>57</v>
      </c>
      <c r="E17" s="135" t="s">
        <v>49</v>
      </c>
      <c r="F17" s="137">
        <v>1</v>
      </c>
      <c r="G17" s="136"/>
      <c r="H17" s="105"/>
      <c r="I17" s="105"/>
      <c r="J17" s="105"/>
      <c r="K17" s="105">
        <v>1</v>
      </c>
      <c r="L17" s="105"/>
      <c r="M17" s="105"/>
      <c r="N17" s="105"/>
      <c r="O17" s="105"/>
      <c r="P17" s="105">
        <v>1</v>
      </c>
      <c r="Q17" s="67"/>
    </row>
    <row r="18" spans="1:18">
      <c r="A18" s="17" t="s">
        <v>50</v>
      </c>
      <c r="B18" s="133">
        <v>20</v>
      </c>
      <c r="C18" s="62" t="s">
        <v>51</v>
      </c>
      <c r="D18" s="134">
        <v>1000</v>
      </c>
      <c r="E18" s="71">
        <f>D18*B18</f>
        <v>20000</v>
      </c>
      <c r="F18" s="73"/>
      <c r="Q18" s="67"/>
    </row>
    <row r="19" spans="1:18">
      <c r="A19" s="17" t="s">
        <v>52</v>
      </c>
      <c r="B19" s="133">
        <v>1</v>
      </c>
      <c r="C19" s="62" t="s">
        <v>53</v>
      </c>
      <c r="D19" s="134">
        <v>10000</v>
      </c>
      <c r="E19" s="71">
        <f>D19*B19</f>
        <v>10000</v>
      </c>
      <c r="F19" s="73"/>
      <c r="Q19" s="67"/>
    </row>
    <row r="20" spans="1:18">
      <c r="A20" s="17" t="s">
        <v>54</v>
      </c>
      <c r="B20" s="133">
        <v>4</v>
      </c>
      <c r="C20" s="62" t="s">
        <v>53</v>
      </c>
      <c r="D20" s="134">
        <v>10000</v>
      </c>
      <c r="E20" s="71">
        <f>D20*B20</f>
        <v>40000</v>
      </c>
      <c r="F20" s="73"/>
      <c r="Q20" s="67"/>
    </row>
    <row r="21" spans="1:18">
      <c r="A21" t="s">
        <v>55</v>
      </c>
      <c r="E21" s="72">
        <f>SUM(E18:E20)</f>
        <v>70000</v>
      </c>
      <c r="F21" s="74">
        <f>F17*$E$21</f>
        <v>70000</v>
      </c>
      <c r="G21" s="40">
        <f>G17*$E$21*(1+$B$2)^(G$4-1)</f>
        <v>0</v>
      </c>
      <c r="H21" s="40">
        <f t="shared" ref="H21:P21" si="2">H17*$E$21*(1+$B$2)^(H$4-1)</f>
        <v>0</v>
      </c>
      <c r="I21" s="40">
        <f t="shared" si="2"/>
        <v>0</v>
      </c>
      <c r="J21" s="40">
        <f t="shared" si="2"/>
        <v>0</v>
      </c>
      <c r="K21" s="40">
        <f t="shared" si="2"/>
        <v>98810.712700000018</v>
      </c>
      <c r="L21" s="40">
        <f t="shared" si="2"/>
        <v>0</v>
      </c>
      <c r="M21" s="40">
        <f t="shared" si="2"/>
        <v>0</v>
      </c>
      <c r="N21" s="40">
        <f t="shared" si="2"/>
        <v>0</v>
      </c>
      <c r="O21" s="40">
        <f t="shared" si="2"/>
        <v>0</v>
      </c>
      <c r="P21" s="40">
        <f t="shared" si="2"/>
        <v>152032.52956096173</v>
      </c>
      <c r="Q21" s="110">
        <f>SUM(G21:P21)</f>
        <v>250843.24226096174</v>
      </c>
      <c r="R21" s="111">
        <f>Q21/$Q$35</f>
        <v>7.1461109588543195E-2</v>
      </c>
    </row>
    <row r="22" spans="1:18">
      <c r="F22" s="73"/>
      <c r="Q22" s="67"/>
      <c r="R22" s="2"/>
    </row>
    <row r="23" spans="1:18">
      <c r="A23" s="2" t="s">
        <v>58</v>
      </c>
      <c r="E23" s="135" t="s">
        <v>49</v>
      </c>
      <c r="F23" s="137">
        <v>1</v>
      </c>
      <c r="G23" s="136"/>
      <c r="H23" s="105"/>
      <c r="I23" s="105"/>
      <c r="J23" s="105"/>
      <c r="K23" s="105">
        <v>1</v>
      </c>
      <c r="L23" s="105"/>
      <c r="M23" s="105"/>
      <c r="N23" s="105"/>
      <c r="O23" s="105"/>
      <c r="P23" s="105">
        <v>1</v>
      </c>
      <c r="Q23" s="67"/>
      <c r="R23" s="2"/>
    </row>
    <row r="24" spans="1:18">
      <c r="A24" s="17" t="s">
        <v>50</v>
      </c>
      <c r="B24" s="101">
        <v>10</v>
      </c>
      <c r="C24" s="62" t="s">
        <v>51</v>
      </c>
      <c r="D24" s="102">
        <v>1000</v>
      </c>
      <c r="E24" s="71">
        <f>D24*B24</f>
        <v>10000</v>
      </c>
      <c r="F24" s="73"/>
      <c r="Q24" s="67"/>
      <c r="R24" s="2"/>
    </row>
    <row r="25" spans="1:18">
      <c r="A25" s="17" t="s">
        <v>52</v>
      </c>
      <c r="B25" s="101">
        <v>1</v>
      </c>
      <c r="C25" s="62" t="s">
        <v>53</v>
      </c>
      <c r="D25" s="102">
        <v>10000</v>
      </c>
      <c r="E25" s="71">
        <f>D25*B25</f>
        <v>10000</v>
      </c>
      <c r="F25" s="73"/>
      <c r="Q25" s="67"/>
      <c r="R25" s="2"/>
    </row>
    <row r="26" spans="1:18">
      <c r="A26" s="17" t="s">
        <v>54</v>
      </c>
      <c r="B26" s="101">
        <v>4</v>
      </c>
      <c r="C26" s="62" t="s">
        <v>53</v>
      </c>
      <c r="D26" s="102">
        <v>10000</v>
      </c>
      <c r="E26" s="71">
        <f>D26*B26</f>
        <v>40000</v>
      </c>
      <c r="F26" s="73"/>
      <c r="Q26" s="67"/>
      <c r="R26" s="2"/>
    </row>
    <row r="27" spans="1:18">
      <c r="A27" t="s">
        <v>55</v>
      </c>
      <c r="E27" s="72">
        <f>SUM(E24:E26)</f>
        <v>60000</v>
      </c>
      <c r="F27" s="74">
        <f>F23*$E$27</f>
        <v>60000</v>
      </c>
      <c r="G27" s="40">
        <f t="shared" ref="G27:P27" si="3">G23*$E$27*(1+$B$2)^(G$4-1)</f>
        <v>0</v>
      </c>
      <c r="H27" s="40">
        <f t="shared" si="3"/>
        <v>0</v>
      </c>
      <c r="I27" s="40">
        <f t="shared" si="3"/>
        <v>0</v>
      </c>
      <c r="J27" s="40">
        <f t="shared" si="3"/>
        <v>0</v>
      </c>
      <c r="K27" s="40">
        <f t="shared" si="3"/>
        <v>84694.896600000022</v>
      </c>
      <c r="L27" s="40">
        <f t="shared" si="3"/>
        <v>0</v>
      </c>
      <c r="M27" s="40">
        <f t="shared" si="3"/>
        <v>0</v>
      </c>
      <c r="N27" s="40">
        <f t="shared" si="3"/>
        <v>0</v>
      </c>
      <c r="O27" s="40">
        <f t="shared" si="3"/>
        <v>0</v>
      </c>
      <c r="P27" s="40">
        <f t="shared" si="3"/>
        <v>130313.59676653863</v>
      </c>
      <c r="Q27" s="110">
        <f>SUM(G27:P27)</f>
        <v>215008.49336653866</v>
      </c>
      <c r="R27" s="111">
        <f>Q27/$Q$35</f>
        <v>6.1252379647322747E-2</v>
      </c>
    </row>
    <row r="28" spans="1:18">
      <c r="F28" s="73"/>
      <c r="Q28" s="67"/>
      <c r="R28" s="2"/>
    </row>
    <row r="29" spans="1:18">
      <c r="A29" s="63" t="s">
        <v>59</v>
      </c>
      <c r="D29" s="53" t="s">
        <v>60</v>
      </c>
      <c r="E29" s="53" t="s">
        <v>61</v>
      </c>
      <c r="F29" s="75">
        <v>1</v>
      </c>
      <c r="G29" s="62">
        <v>1</v>
      </c>
      <c r="H29" s="62">
        <v>1</v>
      </c>
      <c r="I29" s="62">
        <v>1</v>
      </c>
      <c r="J29" s="62">
        <v>1</v>
      </c>
      <c r="K29" s="62">
        <v>1</v>
      </c>
      <c r="L29" s="62">
        <v>1</v>
      </c>
      <c r="M29" s="62">
        <v>1</v>
      </c>
      <c r="N29" s="62">
        <v>1</v>
      </c>
      <c r="O29" s="62">
        <v>1</v>
      </c>
      <c r="P29" s="62">
        <v>1</v>
      </c>
      <c r="Q29" s="67"/>
      <c r="R29" s="2"/>
    </row>
    <row r="30" spans="1:18">
      <c r="A30" s="17" t="s">
        <v>62</v>
      </c>
      <c r="B30" s="101">
        <v>1</v>
      </c>
      <c r="C30" t="s">
        <v>63</v>
      </c>
      <c r="D30" s="102">
        <v>100000</v>
      </c>
      <c r="E30" s="71">
        <f>D30*B30</f>
        <v>100000</v>
      </c>
      <c r="F30" s="73"/>
      <c r="Q30" s="67"/>
      <c r="R30" s="2"/>
    </row>
    <row r="31" spans="1:18">
      <c r="A31" s="17" t="s">
        <v>64</v>
      </c>
      <c r="B31" s="101">
        <v>50</v>
      </c>
      <c r="C31" t="s">
        <v>65</v>
      </c>
      <c r="D31" s="102">
        <v>100</v>
      </c>
      <c r="E31" s="71">
        <f>D31*B31</f>
        <v>5000</v>
      </c>
      <c r="F31" s="73"/>
      <c r="Q31" s="67"/>
      <c r="R31" s="2"/>
    </row>
    <row r="32" spans="1:18">
      <c r="A32" s="17" t="s">
        <v>66</v>
      </c>
      <c r="B32" s="101">
        <v>4</v>
      </c>
      <c r="C32" t="s">
        <v>65</v>
      </c>
      <c r="D32" s="102">
        <v>15000</v>
      </c>
      <c r="E32" s="71">
        <f>D32*B32</f>
        <v>60000</v>
      </c>
      <c r="F32" s="73"/>
      <c r="Q32" s="67"/>
      <c r="R32" s="2"/>
    </row>
    <row r="33" spans="1:18" ht="15.75" thickBot="1">
      <c r="A33" t="s">
        <v>55</v>
      </c>
      <c r="E33" s="72">
        <f>SUM(E30:E32)</f>
        <v>165000</v>
      </c>
      <c r="F33" s="76">
        <f>F29*$E$33</f>
        <v>165000</v>
      </c>
      <c r="G33" s="40">
        <f t="shared" ref="G33:P33" si="4">G29*$E$33*(1+$B$2)^(G$4-1)</f>
        <v>165000</v>
      </c>
      <c r="H33" s="40">
        <f t="shared" si="4"/>
        <v>179850</v>
      </c>
      <c r="I33" s="40">
        <f t="shared" si="4"/>
        <v>196036.50000000003</v>
      </c>
      <c r="J33" s="40">
        <f t="shared" si="4"/>
        <v>213679.78500000003</v>
      </c>
      <c r="K33" s="40">
        <f t="shared" si="4"/>
        <v>232910.96565000006</v>
      </c>
      <c r="L33" s="40">
        <f t="shared" si="4"/>
        <v>253872.95255850008</v>
      </c>
      <c r="M33" s="40">
        <f t="shared" si="4"/>
        <v>276721.5182887651</v>
      </c>
      <c r="N33" s="40">
        <f t="shared" si="4"/>
        <v>301626.45493475394</v>
      </c>
      <c r="O33" s="40">
        <f t="shared" si="4"/>
        <v>328772.83587888186</v>
      </c>
      <c r="P33" s="40">
        <f t="shared" si="4"/>
        <v>358362.39110798121</v>
      </c>
      <c r="Q33" s="110">
        <f>SUM(G33:P33)</f>
        <v>2506833.4034188818</v>
      </c>
      <c r="R33" s="111">
        <f>Q33/$Q$35</f>
        <v>0.71415556164582716</v>
      </c>
    </row>
    <row r="34" spans="1:18"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2"/>
      <c r="R34" s="2"/>
    </row>
    <row r="35" spans="1:18">
      <c r="F35" s="3" t="s">
        <v>67</v>
      </c>
      <c r="G35" s="14">
        <f>G9+G15+G27+G33+G21</f>
        <v>165000</v>
      </c>
      <c r="H35" s="14">
        <f t="shared" ref="H35:P35" si="5">H9+H15+H27+H33+H21</f>
        <v>179850</v>
      </c>
      <c r="I35" s="14">
        <f t="shared" si="5"/>
        <v>196036.50000000003</v>
      </c>
      <c r="J35" s="14">
        <f t="shared" si="5"/>
        <v>213679.78500000003</v>
      </c>
      <c r="K35" s="14">
        <f t="shared" si="5"/>
        <v>628153.81645000016</v>
      </c>
      <c r="L35" s="14">
        <f t="shared" si="5"/>
        <v>253872.95255850008</v>
      </c>
      <c r="M35" s="14">
        <f t="shared" si="5"/>
        <v>276721.5182887651</v>
      </c>
      <c r="N35" s="14">
        <f t="shared" si="5"/>
        <v>301626.45493475394</v>
      </c>
      <c r="O35" s="14">
        <f t="shared" si="5"/>
        <v>328772.83587888186</v>
      </c>
      <c r="P35" s="14">
        <f t="shared" si="5"/>
        <v>966492.50935182814</v>
      </c>
      <c r="Q35" s="95">
        <f>SUM(G35:P35)</f>
        <v>3510206.372462729</v>
      </c>
      <c r="R35" s="112">
        <f>SUM(R9:R34)</f>
        <v>1</v>
      </c>
    </row>
    <row r="36" spans="1:18">
      <c r="F36" s="3" t="s">
        <v>32</v>
      </c>
      <c r="G36" s="14">
        <f>G35</f>
        <v>165000</v>
      </c>
      <c r="H36" s="14">
        <f>G36+H35</f>
        <v>344850</v>
      </c>
      <c r="I36" s="14">
        <f t="shared" ref="I36:P36" si="6">H36+I35</f>
        <v>540886.5</v>
      </c>
      <c r="J36" s="14">
        <f t="shared" si="6"/>
        <v>754566.28500000003</v>
      </c>
      <c r="K36" s="14">
        <f t="shared" si="6"/>
        <v>1382720.1014500002</v>
      </c>
      <c r="L36" s="14">
        <f t="shared" si="6"/>
        <v>1636593.0540085002</v>
      </c>
      <c r="M36" s="14">
        <f t="shared" si="6"/>
        <v>1913314.5722972653</v>
      </c>
      <c r="N36" s="14">
        <f t="shared" si="6"/>
        <v>2214941.0272320192</v>
      </c>
      <c r="O36" s="14">
        <f t="shared" si="6"/>
        <v>2543713.8631109009</v>
      </c>
      <c r="P36" s="14">
        <f t="shared" si="6"/>
        <v>3510206.372462729</v>
      </c>
      <c r="R36" s="2"/>
    </row>
    <row r="37" spans="1:18" ht="15.75" thickBot="1"/>
    <row r="38" spans="1:18" ht="15.75" thickBot="1">
      <c r="E38" s="3" t="s">
        <v>68</v>
      </c>
      <c r="F38" s="77">
        <f>F33+F27+F15+F9</f>
        <v>375000</v>
      </c>
    </row>
  </sheetData>
  <mergeCells count="1">
    <mergeCell ref="G3:P3"/>
  </mergeCells>
  <pageMargins left="0.7" right="0.7" top="0.75" bottom="0.75" header="0.3" footer="0.3"/>
  <pageSetup orientation="portrait" horizontalDpi="4294967293" verticalDpi="4294967293" r:id="rId1"/>
  <customProperties>
    <customPr name="LastActive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34"/>
  <sheetViews>
    <sheetView zoomScaleNormal="100" workbookViewId="0">
      <selection activeCell="A32" sqref="A32"/>
    </sheetView>
  </sheetViews>
  <sheetFormatPr defaultRowHeight="15"/>
  <cols>
    <col min="1" max="1" width="43.5703125" customWidth="1"/>
    <col min="2" max="11" width="15.7109375" customWidth="1"/>
  </cols>
  <sheetData>
    <row r="2" spans="1:9">
      <c r="A2" t="s">
        <v>69</v>
      </c>
      <c r="B2" s="97"/>
      <c r="C2" s="57" t="s">
        <v>70</v>
      </c>
    </row>
    <row r="3" spans="1:9">
      <c r="A3" t="s">
        <v>71</v>
      </c>
      <c r="B3" s="97"/>
      <c r="C3" s="57" t="s">
        <v>72</v>
      </c>
    </row>
    <row r="4" spans="1:9">
      <c r="A4" t="s">
        <v>73</v>
      </c>
      <c r="B4" s="98"/>
      <c r="C4" s="57" t="s">
        <v>74</v>
      </c>
    </row>
    <row r="5" spans="1:9">
      <c r="B5" s="8"/>
    </row>
    <row r="6" spans="1:9">
      <c r="A6" t="s">
        <v>0</v>
      </c>
      <c r="B6" s="59">
        <f>Summary!B2</f>
        <v>0.09</v>
      </c>
    </row>
    <row r="8" spans="1:9">
      <c r="B8" s="3" t="s">
        <v>75</v>
      </c>
      <c r="C8" s="3" t="s">
        <v>76</v>
      </c>
      <c r="D8" s="3" t="s">
        <v>77</v>
      </c>
      <c r="E8" s="3" t="s">
        <v>78</v>
      </c>
      <c r="F8" s="58" t="s">
        <v>79</v>
      </c>
    </row>
    <row r="9" spans="1:9">
      <c r="A9" s="2" t="s">
        <v>80</v>
      </c>
      <c r="F9" s="82"/>
      <c r="I9" s="3"/>
    </row>
    <row r="10" spans="1:9">
      <c r="A10" t="s">
        <v>81</v>
      </c>
      <c r="B10" s="87"/>
      <c r="C10" s="87"/>
      <c r="D10" s="100"/>
      <c r="E10" s="13">
        <f>B10+C10+(D10*$B$2)</f>
        <v>0</v>
      </c>
      <c r="F10" s="82"/>
      <c r="I10" s="16"/>
    </row>
    <row r="11" spans="1:9">
      <c r="A11" t="s">
        <v>82</v>
      </c>
      <c r="B11" s="87"/>
      <c r="C11" s="87"/>
      <c r="D11" s="100"/>
      <c r="E11" s="13">
        <f t="shared" ref="E11:E17" si="0">B11+C11+(D11*$B$2)</f>
        <v>0</v>
      </c>
      <c r="I11" s="16"/>
    </row>
    <row r="12" spans="1:9">
      <c r="A12" t="s">
        <v>83</v>
      </c>
      <c r="B12" s="87"/>
      <c r="C12" s="87"/>
      <c r="D12" s="100"/>
      <c r="E12" s="13">
        <f t="shared" si="0"/>
        <v>0</v>
      </c>
      <c r="I12" s="16"/>
    </row>
    <row r="13" spans="1:9">
      <c r="A13" t="s">
        <v>84</v>
      </c>
      <c r="B13" s="87"/>
      <c r="C13" s="87"/>
      <c r="D13" s="100"/>
      <c r="E13" s="13">
        <f t="shared" si="0"/>
        <v>0</v>
      </c>
      <c r="I13" s="16"/>
    </row>
    <row r="14" spans="1:9">
      <c r="A14" t="s">
        <v>85</v>
      </c>
      <c r="B14" s="87"/>
      <c r="C14" s="87"/>
      <c r="D14" s="100"/>
      <c r="E14" s="13">
        <f t="shared" si="0"/>
        <v>0</v>
      </c>
      <c r="I14" s="16"/>
    </row>
    <row r="15" spans="1:9">
      <c r="A15" t="s">
        <v>86</v>
      </c>
      <c r="B15" s="87"/>
      <c r="C15" s="87"/>
      <c r="D15" s="100"/>
      <c r="E15" s="13">
        <f t="shared" si="0"/>
        <v>0</v>
      </c>
      <c r="I15" s="16"/>
    </row>
    <row r="16" spans="1:9">
      <c r="A16" t="s">
        <v>87</v>
      </c>
      <c r="B16" s="87"/>
      <c r="C16" s="87"/>
      <c r="D16" s="100"/>
      <c r="E16" s="13">
        <f t="shared" si="0"/>
        <v>0</v>
      </c>
      <c r="I16" s="16"/>
    </row>
    <row r="17" spans="1:11">
      <c r="A17" s="88" t="s">
        <v>88</v>
      </c>
      <c r="B17" s="99">
        <v>500000</v>
      </c>
      <c r="C17" s="90"/>
      <c r="D17" s="91"/>
      <c r="E17" s="13">
        <f t="shared" si="0"/>
        <v>500000</v>
      </c>
      <c r="F17" s="82" t="s">
        <v>89</v>
      </c>
      <c r="I17" s="16"/>
    </row>
    <row r="18" spans="1:11">
      <c r="B18" s="12">
        <f>SUM(B10:B17)</f>
        <v>500000</v>
      </c>
      <c r="C18" s="16">
        <f>SUM(C10:C17)</f>
        <v>0</v>
      </c>
      <c r="D18" s="18">
        <f>SUM(D10:D17)</f>
        <v>0</v>
      </c>
      <c r="E18" s="12">
        <f>SUM(E10:E17)</f>
        <v>500000</v>
      </c>
      <c r="I18" s="16"/>
    </row>
    <row r="19" spans="1:11">
      <c r="B19" s="16"/>
      <c r="C19" s="16"/>
      <c r="D19" s="18"/>
      <c r="E19" s="16"/>
      <c r="I19" s="16"/>
    </row>
    <row r="20" spans="1:11">
      <c r="B20" s="3" t="s">
        <v>75</v>
      </c>
      <c r="C20" s="3" t="s">
        <v>76</v>
      </c>
      <c r="D20" s="3" t="s">
        <v>77</v>
      </c>
      <c r="E20" s="3" t="s">
        <v>78</v>
      </c>
      <c r="I20" s="16"/>
    </row>
    <row r="21" spans="1:11">
      <c r="A21" s="2" t="s">
        <v>90</v>
      </c>
      <c r="E21" s="13"/>
      <c r="F21" s="57" t="s">
        <v>91</v>
      </c>
      <c r="I21" s="16"/>
    </row>
    <row r="22" spans="1:11">
      <c r="A22" t="s">
        <v>81</v>
      </c>
      <c r="B22" s="89">
        <f t="shared" ref="B22:B27" si="1">B10*$B$4/12</f>
        <v>0</v>
      </c>
      <c r="C22" s="87"/>
      <c r="D22" s="100"/>
      <c r="E22" s="13">
        <f>B22+C22+(D22*$B$3)</f>
        <v>0</v>
      </c>
      <c r="F22" s="82"/>
    </row>
    <row r="23" spans="1:11">
      <c r="A23" t="s">
        <v>82</v>
      </c>
      <c r="B23" s="89">
        <f t="shared" si="1"/>
        <v>0</v>
      </c>
      <c r="C23" s="87"/>
      <c r="D23" s="100"/>
      <c r="E23" s="13">
        <f t="shared" ref="E23:E29" si="2">B23+C23+(D23*$B$3)</f>
        <v>0</v>
      </c>
    </row>
    <row r="24" spans="1:11">
      <c r="A24" t="s">
        <v>83</v>
      </c>
      <c r="B24" s="89">
        <f t="shared" si="1"/>
        <v>0</v>
      </c>
      <c r="C24" s="87"/>
      <c r="D24" s="100"/>
      <c r="E24" s="13">
        <f t="shared" si="2"/>
        <v>0</v>
      </c>
    </row>
    <row r="25" spans="1:11">
      <c r="A25" t="s">
        <v>84</v>
      </c>
      <c r="B25" s="89">
        <f t="shared" si="1"/>
        <v>0</v>
      </c>
      <c r="C25" s="87"/>
      <c r="D25" s="100"/>
      <c r="E25" s="13">
        <f t="shared" si="2"/>
        <v>0</v>
      </c>
    </row>
    <row r="26" spans="1:11">
      <c r="A26" t="s">
        <v>85</v>
      </c>
      <c r="B26" s="89">
        <f t="shared" si="1"/>
        <v>0</v>
      </c>
      <c r="C26" s="87"/>
      <c r="D26" s="100"/>
      <c r="E26" s="13">
        <f t="shared" si="2"/>
        <v>0</v>
      </c>
    </row>
    <row r="27" spans="1:11">
      <c r="A27" t="s">
        <v>86</v>
      </c>
      <c r="B27" s="89">
        <f t="shared" si="1"/>
        <v>0</v>
      </c>
      <c r="C27" s="87"/>
      <c r="D27" s="100"/>
      <c r="E27" s="13">
        <f t="shared" si="2"/>
        <v>0</v>
      </c>
    </row>
    <row r="28" spans="1:11">
      <c r="A28" t="s">
        <v>87</v>
      </c>
      <c r="B28" s="89">
        <f t="shared" ref="B28" si="3">B16*$B$4/12</f>
        <v>0</v>
      </c>
      <c r="C28" s="87"/>
      <c r="D28" s="100"/>
      <c r="E28" s="13">
        <f t="shared" si="2"/>
        <v>0</v>
      </c>
    </row>
    <row r="29" spans="1:11">
      <c r="A29" s="88" t="s">
        <v>92</v>
      </c>
      <c r="B29" s="87">
        <v>20000</v>
      </c>
      <c r="C29" s="90"/>
      <c r="D29" s="91"/>
      <c r="E29" s="13">
        <f t="shared" si="2"/>
        <v>20000</v>
      </c>
      <c r="F29" s="82" t="s">
        <v>93</v>
      </c>
    </row>
    <row r="30" spans="1:11">
      <c r="B30" s="12">
        <f>SUM(B22:B29)</f>
        <v>20000</v>
      </c>
      <c r="C30" s="16">
        <f>SUM(C22:C29)</f>
        <v>0</v>
      </c>
      <c r="D30" s="18">
        <f>SUM(D22:D29)</f>
        <v>0</v>
      </c>
      <c r="E30" s="12">
        <f>SUM(E22:E29)</f>
        <v>20000</v>
      </c>
    </row>
    <row r="32" spans="1:11">
      <c r="A32" s="2" t="s">
        <v>20</v>
      </c>
      <c r="B32" s="6">
        <v>1</v>
      </c>
      <c r="C32" s="6">
        <v>2</v>
      </c>
      <c r="D32" s="6">
        <v>3</v>
      </c>
      <c r="E32" s="6">
        <v>4</v>
      </c>
      <c r="F32" s="6">
        <v>5</v>
      </c>
      <c r="G32" s="6">
        <v>6</v>
      </c>
      <c r="H32" s="6">
        <v>7</v>
      </c>
      <c r="I32" s="6">
        <v>8</v>
      </c>
      <c r="J32" s="6">
        <v>9</v>
      </c>
      <c r="K32" s="6">
        <v>10</v>
      </c>
    </row>
    <row r="33" spans="1:11" s="2" customFormat="1">
      <c r="A33" s="2" t="s">
        <v>67</v>
      </c>
      <c r="B33" s="16">
        <f>$E$18+($E$30*12)</f>
        <v>740000</v>
      </c>
      <c r="C33" s="16">
        <f t="shared" ref="C33:K33" si="4">$E$30*12*(1+$B$6)^(C32-1)</f>
        <v>261600.00000000003</v>
      </c>
      <c r="D33" s="16">
        <f t="shared" si="4"/>
        <v>285144.00000000006</v>
      </c>
      <c r="E33" s="16">
        <f t="shared" si="4"/>
        <v>310806.96000000002</v>
      </c>
      <c r="F33" s="16">
        <f t="shared" si="4"/>
        <v>338779.58640000009</v>
      </c>
      <c r="G33" s="16">
        <f t="shared" si="4"/>
        <v>369269.74917600013</v>
      </c>
      <c r="H33" s="16">
        <f t="shared" si="4"/>
        <v>402504.02660184016</v>
      </c>
      <c r="I33" s="16">
        <f t="shared" si="4"/>
        <v>438729.38899600576</v>
      </c>
      <c r="J33" s="16">
        <f t="shared" si="4"/>
        <v>478215.0340056463</v>
      </c>
      <c r="K33" s="16">
        <f t="shared" si="4"/>
        <v>521254.38706615451</v>
      </c>
    </row>
    <row r="34" spans="1:11" s="2" customFormat="1">
      <c r="A34" s="2" t="s">
        <v>94</v>
      </c>
      <c r="B34" s="14">
        <f>B33</f>
        <v>740000</v>
      </c>
      <c r="C34" s="14">
        <f>B34+C33</f>
        <v>1001600</v>
      </c>
      <c r="D34" s="14">
        <f t="shared" ref="D34:K34" si="5">C34+D33</f>
        <v>1286744</v>
      </c>
      <c r="E34" s="14">
        <f t="shared" si="5"/>
        <v>1597550.96</v>
      </c>
      <c r="F34" s="14">
        <f>E34+F33</f>
        <v>1936330.5464000001</v>
      </c>
      <c r="G34" s="14">
        <f t="shared" si="5"/>
        <v>2305600.2955760001</v>
      </c>
      <c r="H34" s="14">
        <f t="shared" si="5"/>
        <v>2708104.3221778404</v>
      </c>
      <c r="I34" s="14">
        <f t="shared" si="5"/>
        <v>3146833.7111738464</v>
      </c>
      <c r="J34" s="14">
        <f t="shared" si="5"/>
        <v>3625048.7451794925</v>
      </c>
      <c r="K34" s="14">
        <f t="shared" si="5"/>
        <v>4146303.1322456468</v>
      </c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29"/>
  <sheetViews>
    <sheetView zoomScaleNormal="100" workbookViewId="0">
      <selection activeCell="I35" sqref="I35"/>
    </sheetView>
  </sheetViews>
  <sheetFormatPr defaultRowHeight="15"/>
  <cols>
    <col min="1" max="1" width="38.7109375" customWidth="1"/>
    <col min="2" max="11" width="15.7109375" customWidth="1"/>
    <col min="12" max="12" width="13.42578125" customWidth="1"/>
    <col min="13" max="13" width="11.42578125" customWidth="1"/>
  </cols>
  <sheetData>
    <row r="2" spans="1:3">
      <c r="A2" t="s">
        <v>95</v>
      </c>
      <c r="B2" s="42">
        <f>Summary!B7</f>
        <v>15100000</v>
      </c>
    </row>
    <row r="3" spans="1:3">
      <c r="A3" t="s">
        <v>96</v>
      </c>
      <c r="B3" s="59">
        <f>Summary!B8</f>
        <v>2.5999999999999999E-2</v>
      </c>
    </row>
    <row r="4" spans="1:3">
      <c r="B4" s="59"/>
    </row>
    <row r="5" spans="1:3">
      <c r="A5" t="s">
        <v>97</v>
      </c>
      <c r="B5" s="97">
        <v>0.01</v>
      </c>
      <c r="C5" s="57" t="s">
        <v>98</v>
      </c>
    </row>
    <row r="6" spans="1:3">
      <c r="A6" t="s">
        <v>99</v>
      </c>
      <c r="B6" s="97">
        <v>0.05</v>
      </c>
      <c r="C6" s="82" t="s">
        <v>100</v>
      </c>
    </row>
    <row r="7" spans="1:3">
      <c r="A7" t="s">
        <v>101</v>
      </c>
      <c r="B7" s="105">
        <v>5</v>
      </c>
      <c r="C7" s="82" t="s">
        <v>102</v>
      </c>
    </row>
    <row r="8" spans="1:3">
      <c r="A8" t="s">
        <v>103</v>
      </c>
      <c r="B8" s="108">
        <v>0.01</v>
      </c>
      <c r="C8" s="57" t="s">
        <v>104</v>
      </c>
    </row>
    <row r="9" spans="1:3">
      <c r="B9" s="9"/>
    </row>
    <row r="10" spans="1:3">
      <c r="A10" t="s">
        <v>105</v>
      </c>
      <c r="B10" s="100">
        <v>1371</v>
      </c>
      <c r="C10" s="82" t="s">
        <v>106</v>
      </c>
    </row>
    <row r="11" spans="1:3">
      <c r="A11" t="s">
        <v>107</v>
      </c>
      <c r="B11" s="87">
        <v>200</v>
      </c>
      <c r="C11" s="57" t="s">
        <v>108</v>
      </c>
    </row>
    <row r="12" spans="1:3">
      <c r="A12" t="s">
        <v>109</v>
      </c>
      <c r="B12" s="87">
        <v>50</v>
      </c>
      <c r="C12" s="57" t="s">
        <v>110</v>
      </c>
    </row>
    <row r="13" spans="1:3">
      <c r="B13" s="10"/>
    </row>
    <row r="14" spans="1:3">
      <c r="A14" t="s">
        <v>0</v>
      </c>
      <c r="B14" s="59">
        <f>Summary!$B$2</f>
        <v>0.09</v>
      </c>
    </row>
    <row r="15" spans="1:3">
      <c r="B15" s="59"/>
    </row>
    <row r="16" spans="1:3">
      <c r="A16" t="s">
        <v>111</v>
      </c>
      <c r="B16" s="98">
        <v>1</v>
      </c>
      <c r="C16" s="57" t="s">
        <v>112</v>
      </c>
    </row>
    <row r="17" spans="1:13">
      <c r="A17" t="s">
        <v>113</v>
      </c>
      <c r="B17" s="98">
        <v>1</v>
      </c>
      <c r="C17" s="57" t="s">
        <v>114</v>
      </c>
    </row>
    <row r="18" spans="1:13">
      <c r="B18" s="1"/>
    </row>
    <row r="19" spans="1:13">
      <c r="A19" s="2" t="s">
        <v>20</v>
      </c>
      <c r="B19" s="6">
        <v>1</v>
      </c>
      <c r="C19" s="6">
        <v>2</v>
      </c>
      <c r="D19" s="6">
        <v>3</v>
      </c>
      <c r="E19" s="6">
        <v>4</v>
      </c>
      <c r="F19" s="6">
        <v>5</v>
      </c>
      <c r="G19" s="6">
        <v>6</v>
      </c>
      <c r="H19" s="6">
        <v>7</v>
      </c>
      <c r="I19" s="6">
        <v>8</v>
      </c>
      <c r="J19" s="6">
        <v>9</v>
      </c>
      <c r="K19" s="6">
        <v>10</v>
      </c>
      <c r="L19" s="109" t="s">
        <v>115</v>
      </c>
      <c r="M19" s="109" t="s">
        <v>47</v>
      </c>
    </row>
    <row r="20" spans="1:13">
      <c r="A20" t="s">
        <v>116</v>
      </c>
      <c r="B20" s="4">
        <f>$B$2*(1+$B$3)^(B19-1)</f>
        <v>15100000</v>
      </c>
      <c r="C20" s="4">
        <f t="shared" ref="C20:K20" si="0">$B$2*(1+$B$3)^(C19-1)</f>
        <v>15492600</v>
      </c>
      <c r="D20" s="4">
        <f t="shared" si="0"/>
        <v>15895407.6</v>
      </c>
      <c r="E20" s="4">
        <f t="shared" si="0"/>
        <v>16308688.197600001</v>
      </c>
      <c r="F20" s="4">
        <f t="shared" si="0"/>
        <v>16732714.0907376</v>
      </c>
      <c r="G20" s="4">
        <f t="shared" si="0"/>
        <v>17167764.657096777</v>
      </c>
      <c r="H20" s="4">
        <f t="shared" si="0"/>
        <v>17614126.538181294</v>
      </c>
      <c r="I20" s="4">
        <f t="shared" si="0"/>
        <v>18072093.828174006</v>
      </c>
      <c r="J20" s="4">
        <f t="shared" si="0"/>
        <v>18541968.267706528</v>
      </c>
      <c r="K20" s="4">
        <f t="shared" si="0"/>
        <v>19024059.442666899</v>
      </c>
    </row>
    <row r="21" spans="1:13">
      <c r="A21" t="s">
        <v>117</v>
      </c>
      <c r="B21" s="4">
        <f>B20*$B$17</f>
        <v>15100000</v>
      </c>
      <c r="C21" s="4">
        <f t="shared" ref="C21:K21" si="1">C20*$B$17</f>
        <v>15492600</v>
      </c>
      <c r="D21" s="4">
        <f t="shared" si="1"/>
        <v>15895407.6</v>
      </c>
      <c r="E21" s="4">
        <f t="shared" si="1"/>
        <v>16308688.197600001</v>
      </c>
      <c r="F21" s="4">
        <f t="shared" si="1"/>
        <v>16732714.0907376</v>
      </c>
      <c r="G21" s="4">
        <f t="shared" si="1"/>
        <v>17167764.657096777</v>
      </c>
      <c r="H21" s="4">
        <f t="shared" si="1"/>
        <v>17614126.538181294</v>
      </c>
      <c r="I21" s="4">
        <f t="shared" si="1"/>
        <v>18072093.828174006</v>
      </c>
      <c r="J21" s="4">
        <f t="shared" si="1"/>
        <v>18541968.267706528</v>
      </c>
      <c r="K21" s="4">
        <f t="shared" si="1"/>
        <v>19024059.442666899</v>
      </c>
    </row>
    <row r="22" spans="1:13">
      <c r="A22" t="s">
        <v>118</v>
      </c>
      <c r="B22" s="4">
        <f>B21+IF(B20*$B$3&gt;0,B20*$B$3,0)+(B21*$B$8)</f>
        <v>15643600</v>
      </c>
      <c r="C22" s="4">
        <f>IF(C21-B21&gt;0,C21-B21,0)+(C21*$B$8)</f>
        <v>547526</v>
      </c>
      <c r="D22" s="4">
        <f t="shared" ref="D22:K22" si="2">IF(D21-C21&gt;0,D21-C21,0)+(D21*$B$8)</f>
        <v>561761.67599999963</v>
      </c>
      <c r="E22" s="4">
        <f t="shared" si="2"/>
        <v>576367.47957600188</v>
      </c>
      <c r="F22" s="4">
        <f t="shared" si="2"/>
        <v>591353.03404497448</v>
      </c>
      <c r="G22" s="4">
        <f t="shared" si="2"/>
        <v>606728.21293014497</v>
      </c>
      <c r="H22" s="4">
        <f t="shared" si="2"/>
        <v>622503.14646632958</v>
      </c>
      <c r="I22" s="4">
        <f t="shared" si="2"/>
        <v>638688.2282744525</v>
      </c>
      <c r="J22" s="4">
        <f t="shared" si="2"/>
        <v>655294.12220958737</v>
      </c>
      <c r="K22" s="4">
        <f t="shared" si="2"/>
        <v>672331.76938704005</v>
      </c>
    </row>
    <row r="23" spans="1:13">
      <c r="A23" t="s">
        <v>119</v>
      </c>
      <c r="B23" s="4"/>
      <c r="C23" s="4">
        <f ca="1">IF(C19&gt;$B$7,OFFSET(C23,-1,-$B$7,1,1)+OFFSET(C23,0,-$B$7,1,1),0)</f>
        <v>0</v>
      </c>
      <c r="D23" s="4">
        <f t="shared" ref="D23:K23" ca="1" si="3">IF(D19&gt;$B$7,OFFSET(D23,-1,-$B$7,1,1)+OFFSET(D23,0,-$B$7,1,1),0)</f>
        <v>0</v>
      </c>
      <c r="E23" s="4">
        <f t="shared" ca="1" si="3"/>
        <v>0</v>
      </c>
      <c r="F23" s="4">
        <f t="shared" ca="1" si="3"/>
        <v>0</v>
      </c>
      <c r="G23" s="4">
        <f t="shared" ca="1" si="3"/>
        <v>15643600</v>
      </c>
      <c r="H23" s="4">
        <f t="shared" ca="1" si="3"/>
        <v>547526</v>
      </c>
      <c r="I23" s="4">
        <f t="shared" ca="1" si="3"/>
        <v>561761.67599999963</v>
      </c>
      <c r="J23" s="4">
        <f t="shared" ca="1" si="3"/>
        <v>576367.47957600188</v>
      </c>
      <c r="K23" s="4">
        <f t="shared" ca="1" si="3"/>
        <v>591353.03404497448</v>
      </c>
    </row>
    <row r="24" spans="1:13">
      <c r="A24" t="s">
        <v>120</v>
      </c>
      <c r="B24" s="4">
        <f>B2*B16</f>
        <v>15100000</v>
      </c>
      <c r="C24" s="4">
        <f>C22</f>
        <v>547526</v>
      </c>
      <c r="D24" s="4">
        <f t="shared" ref="D24:K24" si="4">D22</f>
        <v>561761.67599999963</v>
      </c>
      <c r="E24" s="4">
        <f t="shared" si="4"/>
        <v>576367.47957600188</v>
      </c>
      <c r="F24" s="4">
        <f t="shared" si="4"/>
        <v>591353.03404497448</v>
      </c>
      <c r="G24" s="4">
        <f t="shared" si="4"/>
        <v>606728.21293014497</v>
      </c>
      <c r="H24" s="4">
        <f t="shared" si="4"/>
        <v>622503.14646632958</v>
      </c>
      <c r="I24" s="4">
        <f t="shared" si="4"/>
        <v>638688.2282744525</v>
      </c>
      <c r="J24" s="4">
        <f t="shared" si="4"/>
        <v>655294.12220958737</v>
      </c>
      <c r="K24" s="4">
        <f t="shared" si="4"/>
        <v>672331.76938704005</v>
      </c>
    </row>
    <row r="25" spans="1:13">
      <c r="A25" t="s">
        <v>121</v>
      </c>
      <c r="B25" s="13">
        <f>B10*B11+B10*B12*12</f>
        <v>1096800</v>
      </c>
      <c r="C25" s="4">
        <f>$B$10*$B$12*12*(1+$B$14)^(C19-1)</f>
        <v>896634.00000000012</v>
      </c>
      <c r="D25" s="4">
        <f t="shared" ref="D25:K25" si="5">$B$10*$B$12*12*(1+$B$14)^(D19-1)</f>
        <v>977331.06000000017</v>
      </c>
      <c r="E25" s="4">
        <f t="shared" si="5"/>
        <v>1065290.8554000002</v>
      </c>
      <c r="F25" s="4">
        <f t="shared" si="5"/>
        <v>1161167.0323860003</v>
      </c>
      <c r="G25" s="4">
        <f t="shared" si="5"/>
        <v>1265672.0653007403</v>
      </c>
      <c r="H25" s="4">
        <f t="shared" si="5"/>
        <v>1379582.5511778072</v>
      </c>
      <c r="I25" s="4">
        <f t="shared" si="5"/>
        <v>1503744.9807838097</v>
      </c>
      <c r="J25" s="4">
        <f t="shared" si="5"/>
        <v>1639082.0290543528</v>
      </c>
      <c r="K25" s="4">
        <f t="shared" si="5"/>
        <v>1786599.4116692445</v>
      </c>
      <c r="L25" s="23">
        <f>SUM(B25:K25)</f>
        <v>12771903.985771956</v>
      </c>
      <c r="M25" s="139">
        <f ca="1">L25/K28</f>
        <v>0.81594758660281974</v>
      </c>
    </row>
    <row r="26" spans="1:13">
      <c r="A26" t="s">
        <v>122</v>
      </c>
      <c r="B26" s="13">
        <f>(B22+B23)*($B$6) + B24*$B$5</f>
        <v>933180</v>
      </c>
      <c r="C26" s="13">
        <f ca="1">((C22+C23)*$B$6 + C24*$B$5)*(1+$B$14)^(C19-1)</f>
        <v>35808.200400000009</v>
      </c>
      <c r="D26" s="13">
        <f t="shared" ref="D26:K26" ca="1" si="6">((D22+D23)*$B$6 + D24*$B$5)*(1+$B$14)^(D19-1)</f>
        <v>40045.742835335979</v>
      </c>
      <c r="E26" s="13">
        <f t="shared" ca="1" si="6"/>
        <v>44784.756042469817</v>
      </c>
      <c r="F26" s="13">
        <f t="shared" ca="1" si="6"/>
        <v>50084.584072535406</v>
      </c>
      <c r="G26" s="13">
        <f t="shared" ca="1" si="6"/>
        <v>1259492.4787953617</v>
      </c>
      <c r="H26" s="13">
        <f t="shared" ca="1" si="6"/>
        <v>108552.80152066967</v>
      </c>
      <c r="I26" s="13">
        <f t="shared" ca="1" si="6"/>
        <v>121398.94005262549</v>
      </c>
      <c r="J26" s="13">
        <f t="shared" ca="1" si="6"/>
        <v>135765.29061845332</v>
      </c>
      <c r="K26" s="13">
        <f t="shared" ca="1" si="6"/>
        <v>151831.75511024118</v>
      </c>
      <c r="L26" s="23">
        <f ca="1">SUM(B26:K26)</f>
        <v>2880944.5494476925</v>
      </c>
      <c r="M26" s="139">
        <f ca="1">L26/K28</f>
        <v>0.18405241339718012</v>
      </c>
    </row>
    <row r="27" spans="1:13">
      <c r="A27" s="2" t="s">
        <v>67</v>
      </c>
      <c r="B27" s="11">
        <f>B25+B26</f>
        <v>2029980</v>
      </c>
      <c r="C27" s="11">
        <f ca="1">C25+C26</f>
        <v>932442.20040000009</v>
      </c>
      <c r="D27" s="11">
        <f t="shared" ref="D27:K27" ca="1" si="7">D25+D26</f>
        <v>1017376.8028353362</v>
      </c>
      <c r="E27" s="11">
        <f t="shared" ca="1" si="7"/>
        <v>1110075.61144247</v>
      </c>
      <c r="F27" s="11">
        <f t="shared" ca="1" si="7"/>
        <v>1211251.6164585357</v>
      </c>
      <c r="G27" s="11">
        <f t="shared" ca="1" si="7"/>
        <v>2525164.544096102</v>
      </c>
      <c r="H27" s="11">
        <f t="shared" ca="1" si="7"/>
        <v>1488135.3526984768</v>
      </c>
      <c r="I27" s="11">
        <f t="shared" ca="1" si="7"/>
        <v>1625143.9208364352</v>
      </c>
      <c r="J27" s="11">
        <f t="shared" ca="1" si="7"/>
        <v>1774847.3196728062</v>
      </c>
      <c r="K27" s="11">
        <f t="shared" ca="1" si="7"/>
        <v>1938431.1667794858</v>
      </c>
      <c r="L27" s="95">
        <f ca="1">SUM(B27:K27)</f>
        <v>15652848.535219651</v>
      </c>
      <c r="M27" s="96">
        <f ca="1">SUM(M25:M26)</f>
        <v>0.99999999999999989</v>
      </c>
    </row>
    <row r="28" spans="1:13">
      <c r="A28" s="2" t="s">
        <v>123</v>
      </c>
      <c r="B28" s="11">
        <f>B27</f>
        <v>2029980</v>
      </c>
      <c r="C28" s="11">
        <f ca="1">B28+C27</f>
        <v>2962422.2004</v>
      </c>
      <c r="D28" s="11">
        <f t="shared" ref="D28:K28" ca="1" si="8">C28+D27</f>
        <v>3979799.0032353364</v>
      </c>
      <c r="E28" s="11">
        <f t="shared" ca="1" si="8"/>
        <v>5089874.6146778064</v>
      </c>
      <c r="F28" s="11">
        <f t="shared" ca="1" si="8"/>
        <v>6301126.2311363425</v>
      </c>
      <c r="G28" s="11">
        <f t="shared" ca="1" si="8"/>
        <v>8826290.7752324454</v>
      </c>
      <c r="H28" s="11">
        <f t="shared" ca="1" si="8"/>
        <v>10314426.127930922</v>
      </c>
      <c r="I28" s="11">
        <f t="shared" ca="1" si="8"/>
        <v>11939570.048767358</v>
      </c>
      <c r="J28" s="11">
        <f t="shared" ca="1" si="8"/>
        <v>13714417.368440164</v>
      </c>
      <c r="K28" s="11">
        <f t="shared" ca="1" si="8"/>
        <v>15652848.535219651</v>
      </c>
    </row>
    <row r="29" spans="1:13">
      <c r="C29" s="78"/>
    </row>
  </sheetData>
  <pageMargins left="0.7" right="0.7" top="0.75" bottom="0.75" header="0.3" footer="0.3"/>
  <customProperties>
    <customPr name="LastActive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zoomScaleNormal="100" workbookViewId="0">
      <selection activeCell="M19" sqref="M19"/>
    </sheetView>
  </sheetViews>
  <sheetFormatPr defaultRowHeight="15"/>
  <cols>
    <col min="1" max="1" width="39.7109375" customWidth="1"/>
    <col min="2" max="11" width="15.7109375" customWidth="1"/>
    <col min="12" max="12" width="14.28515625" customWidth="1"/>
  </cols>
  <sheetData>
    <row r="1" spans="1:13">
      <c r="A1" s="57" t="s">
        <v>124</v>
      </c>
    </row>
    <row r="2" spans="1:13">
      <c r="A2" t="s">
        <v>125</v>
      </c>
      <c r="B2" s="100">
        <v>2</v>
      </c>
      <c r="C2" s="57" t="s">
        <v>126</v>
      </c>
    </row>
    <row r="3" spans="1:13">
      <c r="A3" t="s">
        <v>127</v>
      </c>
      <c r="B3" s="87">
        <v>10000</v>
      </c>
      <c r="C3" s="57" t="s">
        <v>128</v>
      </c>
    </row>
    <row r="4" spans="1:13">
      <c r="A4" t="s">
        <v>129</v>
      </c>
      <c r="B4" s="98">
        <v>0.15</v>
      </c>
      <c r="C4" s="57" t="s">
        <v>130</v>
      </c>
    </row>
    <row r="5" spans="1:13">
      <c r="B5" s="8"/>
    </row>
    <row r="6" spans="1:13">
      <c r="A6" t="s">
        <v>0</v>
      </c>
      <c r="B6" s="59">
        <f>Summary!$B$2</f>
        <v>0.09</v>
      </c>
    </row>
    <row r="7" spans="1:13">
      <c r="B7" s="9"/>
    </row>
    <row r="8" spans="1:13">
      <c r="A8" t="s">
        <v>131</v>
      </c>
      <c r="B8" s="42">
        <f>Summary!B5</f>
        <v>6716</v>
      </c>
    </row>
    <row r="9" spans="1:13">
      <c r="A9" t="s">
        <v>132</v>
      </c>
      <c r="B9" s="59">
        <f>Summary!B6</f>
        <v>0.01</v>
      </c>
    </row>
    <row r="10" spans="1:13">
      <c r="A10" t="s">
        <v>133</v>
      </c>
      <c r="B10" s="100">
        <v>2</v>
      </c>
      <c r="C10" s="57" t="s">
        <v>134</v>
      </c>
    </row>
    <row r="11" spans="1:13">
      <c r="A11" t="s">
        <v>135</v>
      </c>
      <c r="B11" s="97">
        <v>5</v>
      </c>
      <c r="C11" s="57" t="s">
        <v>136</v>
      </c>
    </row>
    <row r="13" spans="1:13">
      <c r="A13" s="2" t="s">
        <v>20</v>
      </c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  <c r="J13" s="6">
        <v>9</v>
      </c>
      <c r="K13" s="6">
        <v>10</v>
      </c>
      <c r="L13" s="109" t="s">
        <v>115</v>
      </c>
      <c r="M13" s="109" t="s">
        <v>47</v>
      </c>
    </row>
    <row r="14" spans="1:13">
      <c r="A14" t="s">
        <v>137</v>
      </c>
      <c r="B14" s="4">
        <f>B8</f>
        <v>6716</v>
      </c>
      <c r="C14" s="4">
        <f t="shared" ref="C14:K14" si="0">B14*(1+$B$9)</f>
        <v>6783.16</v>
      </c>
      <c r="D14" s="4">
        <f t="shared" si="0"/>
        <v>6850.9916000000003</v>
      </c>
      <c r="E14" s="4">
        <f t="shared" si="0"/>
        <v>6919.5015160000003</v>
      </c>
      <c r="F14" s="4">
        <f t="shared" si="0"/>
        <v>6988.6965311600006</v>
      </c>
      <c r="G14" s="4">
        <f t="shared" si="0"/>
        <v>7058.5834964716005</v>
      </c>
      <c r="H14" s="4">
        <f t="shared" si="0"/>
        <v>7129.1693314363165</v>
      </c>
      <c r="I14" s="4">
        <f t="shared" si="0"/>
        <v>7200.4610247506798</v>
      </c>
      <c r="J14" s="4">
        <f t="shared" si="0"/>
        <v>7272.4656349981869</v>
      </c>
      <c r="K14" s="4">
        <f t="shared" si="0"/>
        <v>7345.190291348169</v>
      </c>
    </row>
    <row r="15" spans="1:13">
      <c r="A15" t="s">
        <v>138</v>
      </c>
      <c r="B15" s="4">
        <f>B14*$B$10</f>
        <v>13432</v>
      </c>
      <c r="C15" s="4">
        <f t="shared" ref="C15:K15" si="1">C14*$B$10</f>
        <v>13566.32</v>
      </c>
      <c r="D15" s="4">
        <f t="shared" si="1"/>
        <v>13701.983200000001</v>
      </c>
      <c r="E15" s="4">
        <f t="shared" si="1"/>
        <v>13839.003032000001</v>
      </c>
      <c r="F15" s="4">
        <f t="shared" si="1"/>
        <v>13977.393062320001</v>
      </c>
      <c r="G15" s="4">
        <f t="shared" si="1"/>
        <v>14117.166992943201</v>
      </c>
      <c r="H15" s="4">
        <f t="shared" si="1"/>
        <v>14258.338662872633</v>
      </c>
      <c r="I15" s="4">
        <f t="shared" si="1"/>
        <v>14400.92204950136</v>
      </c>
      <c r="J15" s="4">
        <f t="shared" si="1"/>
        <v>14544.931269996374</v>
      </c>
      <c r="K15" s="4">
        <f t="shared" si="1"/>
        <v>14690.380582696338</v>
      </c>
    </row>
    <row r="16" spans="1:13">
      <c r="A16" t="s">
        <v>139</v>
      </c>
      <c r="B16" s="13">
        <f>B15*$B$11</f>
        <v>67160</v>
      </c>
      <c r="C16" s="13">
        <f>C15*$B$11*(1+$B$6)^(C$13-1)</f>
        <v>73936.444000000018</v>
      </c>
      <c r="D16" s="13">
        <f t="shared" ref="D16:K16" si="2">D15*$B$11*(1+$B$6)^(D$13-1)</f>
        <v>81396.6311996</v>
      </c>
      <c r="E16" s="13">
        <f t="shared" si="2"/>
        <v>89609.551287639668</v>
      </c>
      <c r="F16" s="13">
        <f t="shared" si="2"/>
        <v>98651.155012562522</v>
      </c>
      <c r="G16" s="13">
        <f t="shared" si="2"/>
        <v>108605.05655333008</v>
      </c>
      <c r="H16" s="13">
        <f t="shared" si="2"/>
        <v>119563.30675956108</v>
      </c>
      <c r="I16" s="13">
        <f t="shared" si="2"/>
        <v>131627.24441160081</v>
      </c>
      <c r="J16" s="13">
        <f t="shared" si="2"/>
        <v>144908.43337273135</v>
      </c>
      <c r="K16" s="13">
        <f t="shared" si="2"/>
        <v>159529.69430003996</v>
      </c>
      <c r="L16" s="95">
        <f>SUM(B16:K16)</f>
        <v>1074987.5168970653</v>
      </c>
      <c r="M16" s="96">
        <f>L16/K19</f>
        <v>0.94498888652006818</v>
      </c>
    </row>
    <row r="17" spans="1:13">
      <c r="A17" t="s">
        <v>140</v>
      </c>
      <c r="B17" s="13">
        <f>B2*B3</f>
        <v>20000</v>
      </c>
      <c r="C17" s="13">
        <f>$B$17*$B$4*(1+$B$6)^(C$13-1)</f>
        <v>3270.0000000000005</v>
      </c>
      <c r="D17" s="13">
        <f t="shared" ref="D17:K17" si="3">$B$17*$B$4*(1+$B$6)^(D$13-1)</f>
        <v>3564.3000000000006</v>
      </c>
      <c r="E17" s="13">
        <f t="shared" si="3"/>
        <v>3885.0870000000004</v>
      </c>
      <c r="F17" s="13">
        <f t="shared" si="3"/>
        <v>4234.7448300000005</v>
      </c>
      <c r="G17" s="13">
        <f t="shared" si="3"/>
        <v>4615.8718647000014</v>
      </c>
      <c r="H17" s="13">
        <f t="shared" si="3"/>
        <v>5031.300332523002</v>
      </c>
      <c r="I17" s="13">
        <f t="shared" si="3"/>
        <v>5484.1173624500716</v>
      </c>
      <c r="J17" s="13">
        <f t="shared" si="3"/>
        <v>5977.6879250705788</v>
      </c>
      <c r="K17" s="13">
        <f t="shared" si="3"/>
        <v>6515.6798383269315</v>
      </c>
      <c r="L17" s="95">
        <f t="shared" ref="L17:L18" si="4">SUM(B17:K17)</f>
        <v>62578.789153070582</v>
      </c>
      <c r="M17" s="96">
        <f>L17/K19</f>
        <v>5.5011113479931546E-2</v>
      </c>
    </row>
    <row r="18" spans="1:13">
      <c r="A18" s="2" t="s">
        <v>67</v>
      </c>
      <c r="B18" s="14">
        <f>B16+B17</f>
        <v>87160</v>
      </c>
      <c r="C18" s="14">
        <f>(C16+C17)</f>
        <v>77206.444000000018</v>
      </c>
      <c r="D18" s="14">
        <f t="shared" ref="D18:K18" si="5">(D16+D17)</f>
        <v>84960.931199600003</v>
      </c>
      <c r="E18" s="14">
        <f t="shared" si="5"/>
        <v>93494.638287639667</v>
      </c>
      <c r="F18" s="14">
        <f t="shared" si="5"/>
        <v>102885.89984256252</v>
      </c>
      <c r="G18" s="14">
        <f t="shared" si="5"/>
        <v>113220.92841803009</v>
      </c>
      <c r="H18" s="14">
        <f t="shared" si="5"/>
        <v>124594.60709208407</v>
      </c>
      <c r="I18" s="14">
        <f t="shared" si="5"/>
        <v>137111.36177405089</v>
      </c>
      <c r="J18" s="14">
        <f t="shared" si="5"/>
        <v>150886.12129780193</v>
      </c>
      <c r="K18" s="14">
        <f t="shared" si="5"/>
        <v>166045.3741383669</v>
      </c>
      <c r="L18" s="95">
        <f t="shared" si="4"/>
        <v>1137566.3060501362</v>
      </c>
      <c r="M18" s="96">
        <f>SUM(M16:M17)</f>
        <v>0.99999999999999978</v>
      </c>
    </row>
    <row r="19" spans="1:13">
      <c r="A19" s="2" t="s">
        <v>123</v>
      </c>
      <c r="B19" s="14">
        <f>B18</f>
        <v>87160</v>
      </c>
      <c r="C19" s="14">
        <f>B19+C18</f>
        <v>164366.44400000002</v>
      </c>
      <c r="D19" s="14">
        <f t="shared" ref="D19:K19" si="6">C19+D18</f>
        <v>249327.37519960001</v>
      </c>
      <c r="E19" s="14">
        <f t="shared" si="6"/>
        <v>342822.01348723966</v>
      </c>
      <c r="F19" s="14">
        <f t="shared" si="6"/>
        <v>445707.91332980216</v>
      </c>
      <c r="G19" s="14">
        <f t="shared" si="6"/>
        <v>558928.84174783225</v>
      </c>
      <c r="H19" s="14">
        <f t="shared" si="6"/>
        <v>683523.44883991638</v>
      </c>
      <c r="I19" s="14">
        <f t="shared" si="6"/>
        <v>820634.81061396725</v>
      </c>
      <c r="J19" s="14">
        <f t="shared" si="6"/>
        <v>971520.93191176921</v>
      </c>
      <c r="K19" s="14">
        <f t="shared" si="6"/>
        <v>1137566.3060501362</v>
      </c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zoomScaleNormal="100" workbookViewId="0">
      <selection activeCell="M19" sqref="M19"/>
    </sheetView>
  </sheetViews>
  <sheetFormatPr defaultRowHeight="15"/>
  <cols>
    <col min="1" max="1" width="40.140625" customWidth="1"/>
    <col min="2" max="11" width="15.7109375" customWidth="1"/>
    <col min="12" max="12" width="14.28515625" customWidth="1"/>
    <col min="13" max="13" width="11.5703125" customWidth="1"/>
  </cols>
  <sheetData>
    <row r="1" spans="1:13">
      <c r="A1" s="57" t="s">
        <v>141</v>
      </c>
    </row>
    <row r="2" spans="1:13">
      <c r="A2" t="s">
        <v>142</v>
      </c>
      <c r="B2" s="100">
        <v>4</v>
      </c>
      <c r="C2" s="57" t="s">
        <v>143</v>
      </c>
    </row>
    <row r="3" spans="1:13">
      <c r="A3" t="s">
        <v>127</v>
      </c>
      <c r="B3" s="87">
        <v>10000</v>
      </c>
      <c r="C3" s="57" t="s">
        <v>128</v>
      </c>
    </row>
    <row r="4" spans="1:13">
      <c r="A4" t="s">
        <v>129</v>
      </c>
      <c r="B4" s="98">
        <v>0.15</v>
      </c>
      <c r="C4" s="57" t="s">
        <v>130</v>
      </c>
    </row>
    <row r="5" spans="1:13">
      <c r="B5" s="8"/>
    </row>
    <row r="6" spans="1:13">
      <c r="A6" t="s">
        <v>0</v>
      </c>
      <c r="B6" s="59">
        <f>Summary!$B$2</f>
        <v>0.09</v>
      </c>
    </row>
    <row r="7" spans="1:13">
      <c r="B7" s="9"/>
    </row>
    <row r="8" spans="1:13">
      <c r="A8" t="s">
        <v>144</v>
      </c>
      <c r="B8" s="42">
        <f>Summary!B9</f>
        <v>20605</v>
      </c>
    </row>
    <row r="9" spans="1:13">
      <c r="A9" t="s">
        <v>132</v>
      </c>
      <c r="B9" s="59">
        <f>Summary!B10</f>
        <v>2.5999999999999999E-2</v>
      </c>
    </row>
    <row r="10" spans="1:13">
      <c r="A10" t="s">
        <v>145</v>
      </c>
      <c r="B10" s="100">
        <v>12</v>
      </c>
      <c r="C10" s="57" t="s">
        <v>146</v>
      </c>
    </row>
    <row r="11" spans="1:13">
      <c r="A11" t="s">
        <v>135</v>
      </c>
      <c r="B11" s="97">
        <v>1</v>
      </c>
      <c r="C11" s="57" t="s">
        <v>136</v>
      </c>
    </row>
    <row r="13" spans="1:13">
      <c r="A13" s="2" t="s">
        <v>20</v>
      </c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  <c r="J13" s="6">
        <v>9</v>
      </c>
      <c r="K13" s="6">
        <v>10</v>
      </c>
      <c r="L13" s="109" t="s">
        <v>115</v>
      </c>
      <c r="M13" s="109" t="s">
        <v>47</v>
      </c>
    </row>
    <row r="14" spans="1:13">
      <c r="A14" t="s">
        <v>147</v>
      </c>
      <c r="B14" s="4">
        <f>B8</f>
        <v>20605</v>
      </c>
      <c r="C14" s="4">
        <f>B14*(1+$B$9)</f>
        <v>21140.73</v>
      </c>
      <c r="D14" s="4">
        <f t="shared" ref="D14:K14" si="0">C14*(1+$B$9)</f>
        <v>21690.38898</v>
      </c>
      <c r="E14" s="4">
        <f t="shared" si="0"/>
        <v>22254.339093480001</v>
      </c>
      <c r="F14" s="4">
        <f t="shared" si="0"/>
        <v>22832.95190991048</v>
      </c>
      <c r="G14" s="4">
        <f t="shared" si="0"/>
        <v>23426.608659568152</v>
      </c>
      <c r="H14" s="4">
        <f t="shared" si="0"/>
        <v>24035.700484716923</v>
      </c>
      <c r="I14" s="4">
        <f t="shared" si="0"/>
        <v>24660.628697319564</v>
      </c>
      <c r="J14" s="4">
        <f t="shared" si="0"/>
        <v>25301.805043449873</v>
      </c>
      <c r="K14" s="4">
        <f t="shared" si="0"/>
        <v>25959.65197457957</v>
      </c>
    </row>
    <row r="15" spans="1:13">
      <c r="A15" t="s">
        <v>138</v>
      </c>
      <c r="B15" s="4">
        <f>B14*$B$10</f>
        <v>247260</v>
      </c>
      <c r="C15" s="4">
        <f t="shared" ref="C15:K15" si="1">C14*$B$10</f>
        <v>253688.76</v>
      </c>
      <c r="D15" s="4">
        <f t="shared" si="1"/>
        <v>260284.66775999998</v>
      </c>
      <c r="E15" s="4">
        <f t="shared" si="1"/>
        <v>267052.06912176003</v>
      </c>
      <c r="F15" s="4">
        <f t="shared" si="1"/>
        <v>273995.42291892576</v>
      </c>
      <c r="G15" s="4">
        <f t="shared" si="1"/>
        <v>281119.30391481781</v>
      </c>
      <c r="H15" s="4">
        <f t="shared" si="1"/>
        <v>288428.4058166031</v>
      </c>
      <c r="I15" s="4">
        <f t="shared" si="1"/>
        <v>295927.54436783475</v>
      </c>
      <c r="J15" s="4">
        <f t="shared" si="1"/>
        <v>303621.66052139847</v>
      </c>
      <c r="K15" s="4">
        <f t="shared" si="1"/>
        <v>311515.82369495486</v>
      </c>
    </row>
    <row r="16" spans="1:13">
      <c r="A16" t="s">
        <v>139</v>
      </c>
      <c r="B16" s="13">
        <f>B15*$B$11</f>
        <v>247260</v>
      </c>
      <c r="C16" s="13">
        <f>C15*$B$11*(1+$B$6)^(C$13-1)</f>
        <v>276520.74840000004</v>
      </c>
      <c r="D16" s="13">
        <f t="shared" ref="D16:K16" si="2">D15*$B$11*(1+$B$6)^(D$13-1)</f>
        <v>309244.21376565599</v>
      </c>
      <c r="E16" s="13">
        <f t="shared" si="2"/>
        <v>345840.17402268382</v>
      </c>
      <c r="F16" s="13">
        <f t="shared" si="2"/>
        <v>386766.90021652821</v>
      </c>
      <c r="G16" s="13">
        <f t="shared" si="2"/>
        <v>432536.89518815215</v>
      </c>
      <c r="H16" s="13">
        <f t="shared" si="2"/>
        <v>483723.31136471819</v>
      </c>
      <c r="I16" s="13">
        <f t="shared" si="2"/>
        <v>540967.12803161889</v>
      </c>
      <c r="J16" s="13">
        <f t="shared" si="2"/>
        <v>604985.1779628807</v>
      </c>
      <c r="K16" s="13">
        <f t="shared" si="2"/>
        <v>676579.1239230081</v>
      </c>
      <c r="L16" s="95">
        <f>SUM(B16:K16)</f>
        <v>4304423.672875246</v>
      </c>
      <c r="M16" s="96">
        <f>L16/K19</f>
        <v>0.97174505416900048</v>
      </c>
    </row>
    <row r="17" spans="1:13">
      <c r="A17" t="s">
        <v>148</v>
      </c>
      <c r="B17" s="13">
        <f>B2*B3</f>
        <v>40000</v>
      </c>
      <c r="C17" s="13">
        <f>$B$17*$B$4*(1+$B$6)^(C$13-1)</f>
        <v>6540.0000000000009</v>
      </c>
      <c r="D17" s="13">
        <f t="shared" ref="D17:K17" si="3">$B$17*$B$4*(1+$B$6)^(D$13-1)</f>
        <v>7128.6000000000013</v>
      </c>
      <c r="E17" s="13">
        <f t="shared" si="3"/>
        <v>7770.1740000000009</v>
      </c>
      <c r="F17" s="13">
        <f t="shared" si="3"/>
        <v>8469.4896600000011</v>
      </c>
      <c r="G17" s="13">
        <f t="shared" si="3"/>
        <v>9231.7437294000028</v>
      </c>
      <c r="H17" s="13">
        <f t="shared" si="3"/>
        <v>10062.600665046004</v>
      </c>
      <c r="I17" s="13">
        <f t="shared" si="3"/>
        <v>10968.234724900143</v>
      </c>
      <c r="J17" s="13">
        <f t="shared" si="3"/>
        <v>11955.375850141158</v>
      </c>
      <c r="K17" s="13">
        <f t="shared" si="3"/>
        <v>13031.359676653863</v>
      </c>
      <c r="L17" s="95">
        <f>SUM(B17:K17)</f>
        <v>125157.57830614116</v>
      </c>
      <c r="M17" s="96">
        <f>L17/K19</f>
        <v>2.8254945830999516E-2</v>
      </c>
    </row>
    <row r="18" spans="1:13">
      <c r="A18" s="2" t="s">
        <v>67</v>
      </c>
      <c r="B18" s="14">
        <f>B16+B17</f>
        <v>287260</v>
      </c>
      <c r="C18" s="14">
        <f>(C16+C17)</f>
        <v>283060.74840000004</v>
      </c>
      <c r="D18" s="14">
        <f t="shared" ref="D18:K18" si="4">(D16+D17)</f>
        <v>316372.81376565597</v>
      </c>
      <c r="E18" s="14">
        <f t="shared" si="4"/>
        <v>353610.34802268381</v>
      </c>
      <c r="F18" s="14">
        <f t="shared" si="4"/>
        <v>395236.38987652824</v>
      </c>
      <c r="G18" s="14">
        <f t="shared" si="4"/>
        <v>441768.63891755213</v>
      </c>
      <c r="H18" s="14">
        <f t="shared" si="4"/>
        <v>493785.91202976421</v>
      </c>
      <c r="I18" s="14">
        <f t="shared" si="4"/>
        <v>551935.362756519</v>
      </c>
      <c r="J18" s="14">
        <f t="shared" si="4"/>
        <v>616940.55381302186</v>
      </c>
      <c r="K18" s="14">
        <f t="shared" si="4"/>
        <v>689610.48359966197</v>
      </c>
      <c r="L18" s="95">
        <f>SUM(B18:K18)</f>
        <v>4429581.2511813873</v>
      </c>
      <c r="M18" s="96">
        <f>SUM(M16:M17)</f>
        <v>1</v>
      </c>
    </row>
    <row r="19" spans="1:13">
      <c r="A19" s="2" t="s">
        <v>123</v>
      </c>
      <c r="B19" s="14">
        <f>B18</f>
        <v>287260</v>
      </c>
      <c r="C19" s="14">
        <f>B19+C18</f>
        <v>570320.74840000004</v>
      </c>
      <c r="D19" s="14">
        <f t="shared" ref="D19:K19" si="5">C19+D18</f>
        <v>886693.56216565601</v>
      </c>
      <c r="E19" s="14">
        <f t="shared" si="5"/>
        <v>1240303.9101883399</v>
      </c>
      <c r="F19" s="14">
        <f t="shared" si="5"/>
        <v>1635540.3000648681</v>
      </c>
      <c r="G19" s="14">
        <f t="shared" si="5"/>
        <v>2077308.9389824201</v>
      </c>
      <c r="H19" s="14">
        <f t="shared" si="5"/>
        <v>2571094.8510121843</v>
      </c>
      <c r="I19" s="14">
        <f t="shared" si="5"/>
        <v>3123030.2137687034</v>
      </c>
      <c r="J19" s="14">
        <f t="shared" si="5"/>
        <v>3739970.7675817255</v>
      </c>
      <c r="K19" s="14">
        <f t="shared" si="5"/>
        <v>4429581.2511813873</v>
      </c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54"/>
  <sheetViews>
    <sheetView zoomScaleNormal="100" workbookViewId="0"/>
  </sheetViews>
  <sheetFormatPr defaultRowHeight="15"/>
  <cols>
    <col min="1" max="1" width="38.7109375" bestFit="1" customWidth="1"/>
    <col min="2" max="11" width="14.7109375" customWidth="1"/>
    <col min="12" max="12" width="14.7109375" hidden="1" customWidth="1"/>
    <col min="13" max="13" width="14.85546875" customWidth="1"/>
  </cols>
  <sheetData>
    <row r="2" spans="1:7">
      <c r="A2" t="s">
        <v>149</v>
      </c>
      <c r="B2" s="100">
        <v>10</v>
      </c>
      <c r="C2" s="57" t="s">
        <v>150</v>
      </c>
    </row>
    <row r="3" spans="1:7">
      <c r="A3" t="s">
        <v>151</v>
      </c>
      <c r="B3" s="87">
        <v>25000</v>
      </c>
      <c r="C3" s="57" t="s">
        <v>152</v>
      </c>
    </row>
    <row r="4" spans="1:7">
      <c r="A4" t="s">
        <v>129</v>
      </c>
      <c r="B4" s="98">
        <v>0.15</v>
      </c>
      <c r="C4" s="57" t="s">
        <v>153</v>
      </c>
    </row>
    <row r="5" spans="1:7">
      <c r="B5" s="8"/>
    </row>
    <row r="6" spans="1:7">
      <c r="A6" t="s">
        <v>0</v>
      </c>
      <c r="B6" s="59">
        <f>Summary!$B$2</f>
        <v>0.09</v>
      </c>
    </row>
    <row r="7" spans="1:7">
      <c r="B7" s="9"/>
    </row>
    <row r="8" spans="1:7">
      <c r="A8" s="2" t="s">
        <v>154</v>
      </c>
      <c r="B8" s="24">
        <f>'ILR-FR'!B8</f>
        <v>6716</v>
      </c>
      <c r="C8" s="19" t="s">
        <v>2</v>
      </c>
      <c r="D8" s="25" t="s">
        <v>3</v>
      </c>
      <c r="E8" s="30" t="s">
        <v>4</v>
      </c>
      <c r="F8" s="35" t="s">
        <v>5</v>
      </c>
    </row>
    <row r="9" spans="1:7">
      <c r="A9" s="17" t="s">
        <v>155</v>
      </c>
      <c r="B9" s="15"/>
      <c r="C9" s="41">
        <f>Summary!C4</f>
        <v>5.2114353782013101E-3</v>
      </c>
      <c r="D9" s="41">
        <f>Summary!D4</f>
        <v>1.4740917212626563E-2</v>
      </c>
      <c r="E9" s="41">
        <f>Summary!E4</f>
        <v>0.1841870160810006</v>
      </c>
      <c r="F9" s="41">
        <f>1-E9-D9-C9</f>
        <v>0.79586063132817142</v>
      </c>
    </row>
    <row r="10" spans="1:7">
      <c r="A10" s="17" t="s">
        <v>156</v>
      </c>
      <c r="B10" s="15"/>
      <c r="C10" s="24">
        <f>Summary!C5</f>
        <v>35</v>
      </c>
      <c r="D10" s="24">
        <f>Summary!D5</f>
        <v>99</v>
      </c>
      <c r="E10" s="24">
        <f>Summary!E5</f>
        <v>1237</v>
      </c>
      <c r="F10" s="24">
        <f>Summary!F5</f>
        <v>5345</v>
      </c>
    </row>
    <row r="11" spans="1:7">
      <c r="A11" s="17" t="s">
        <v>157</v>
      </c>
      <c r="B11" s="15"/>
      <c r="C11" s="98">
        <v>1</v>
      </c>
      <c r="D11" s="98">
        <v>1</v>
      </c>
      <c r="E11" s="98">
        <v>1</v>
      </c>
      <c r="F11" s="98">
        <v>1</v>
      </c>
      <c r="G11" s="57" t="s">
        <v>158</v>
      </c>
    </row>
    <row r="12" spans="1:7">
      <c r="A12" s="17" t="s">
        <v>159</v>
      </c>
      <c r="B12" s="15"/>
      <c r="C12" s="24">
        <f>C10*C11</f>
        <v>35</v>
      </c>
      <c r="D12" s="24">
        <f t="shared" ref="D12:F12" si="0">D10*D11</f>
        <v>99</v>
      </c>
      <c r="E12" s="24">
        <f t="shared" si="0"/>
        <v>1237</v>
      </c>
      <c r="F12" s="24">
        <f t="shared" si="0"/>
        <v>5345</v>
      </c>
      <c r="G12" s="57"/>
    </row>
    <row r="13" spans="1:7">
      <c r="A13" s="17" t="s">
        <v>160</v>
      </c>
      <c r="B13" s="15"/>
      <c r="C13" s="87">
        <v>50000</v>
      </c>
      <c r="D13" s="87">
        <v>10000</v>
      </c>
      <c r="E13" s="87">
        <v>2000</v>
      </c>
      <c r="F13" s="87">
        <v>1000</v>
      </c>
      <c r="G13" s="57" t="s">
        <v>161</v>
      </c>
    </row>
    <row r="14" spans="1:7">
      <c r="A14" s="17" t="s">
        <v>162</v>
      </c>
      <c r="B14" s="15"/>
      <c r="C14" s="87">
        <v>12000</v>
      </c>
      <c r="D14" s="87">
        <v>1200</v>
      </c>
      <c r="E14" s="87">
        <v>1200</v>
      </c>
      <c r="F14" s="87">
        <v>300</v>
      </c>
      <c r="G14" s="57" t="s">
        <v>163</v>
      </c>
    </row>
    <row r="15" spans="1:7">
      <c r="A15" s="17" t="s">
        <v>164</v>
      </c>
      <c r="B15" s="15"/>
      <c r="C15" s="98">
        <v>0</v>
      </c>
      <c r="D15" s="98">
        <v>0</v>
      </c>
      <c r="E15" s="98">
        <v>0</v>
      </c>
      <c r="F15" s="98">
        <v>0</v>
      </c>
      <c r="G15" s="57" t="s">
        <v>165</v>
      </c>
    </row>
    <row r="16" spans="1:7">
      <c r="A16" s="17" t="s">
        <v>166</v>
      </c>
      <c r="B16" s="15"/>
      <c r="C16" s="24">
        <f>C10*C15*C11</f>
        <v>0</v>
      </c>
      <c r="D16" s="24">
        <f t="shared" ref="D16:F16" si="1">D10*D15*D11</f>
        <v>0</v>
      </c>
      <c r="E16" s="24">
        <f t="shared" si="1"/>
        <v>0</v>
      </c>
      <c r="F16" s="24">
        <f t="shared" si="1"/>
        <v>0</v>
      </c>
      <c r="G16" s="57"/>
    </row>
    <row r="17" spans="1:11">
      <c r="A17" s="17" t="s">
        <v>167</v>
      </c>
      <c r="B17" s="15"/>
      <c r="C17" s="100">
        <v>2</v>
      </c>
      <c r="D17" s="100">
        <v>4</v>
      </c>
      <c r="E17" s="100">
        <v>4</v>
      </c>
      <c r="F17" s="100">
        <v>4</v>
      </c>
      <c r="G17" s="57" t="s">
        <v>168</v>
      </c>
    </row>
    <row r="18" spans="1:11">
      <c r="A18" s="17" t="s">
        <v>169</v>
      </c>
      <c r="B18" s="15"/>
      <c r="C18" s="100">
        <v>1</v>
      </c>
      <c r="D18" s="100">
        <v>1</v>
      </c>
      <c r="E18" s="100">
        <v>1</v>
      </c>
      <c r="F18" s="100">
        <v>4</v>
      </c>
      <c r="G18" s="57" t="s">
        <v>170</v>
      </c>
    </row>
    <row r="19" spans="1:11">
      <c r="A19" s="17" t="s">
        <v>171</v>
      </c>
      <c r="B19" s="15"/>
      <c r="C19" s="87">
        <v>200</v>
      </c>
      <c r="D19" s="87">
        <v>100</v>
      </c>
      <c r="E19" s="87">
        <v>50</v>
      </c>
      <c r="F19" s="87">
        <v>5</v>
      </c>
      <c r="G19" s="57" t="s">
        <v>172</v>
      </c>
    </row>
    <row r="21" spans="1:11">
      <c r="A21" s="2" t="s">
        <v>20</v>
      </c>
      <c r="B21" s="6">
        <v>1</v>
      </c>
      <c r="C21" s="6">
        <v>2</v>
      </c>
      <c r="D21" s="6">
        <v>3</v>
      </c>
      <c r="E21" s="6">
        <v>4</v>
      </c>
      <c r="F21" s="6">
        <v>5</v>
      </c>
      <c r="G21" s="6">
        <v>6</v>
      </c>
      <c r="H21" s="6">
        <v>7</v>
      </c>
      <c r="I21" s="6">
        <v>8</v>
      </c>
      <c r="J21" s="6">
        <v>9</v>
      </c>
      <c r="K21" s="6">
        <v>10</v>
      </c>
    </row>
    <row r="22" spans="1:11">
      <c r="A22" s="2" t="s">
        <v>173</v>
      </c>
      <c r="B22" s="18">
        <f>'ILR-FR'!B14</f>
        <v>6716</v>
      </c>
      <c r="C22" s="18">
        <f>'ILR-FR'!C14</f>
        <v>6783.16</v>
      </c>
      <c r="D22" s="18">
        <f>'ILR-FR'!D14</f>
        <v>6850.9916000000003</v>
      </c>
      <c r="E22" s="18">
        <f>'ILR-FR'!E14</f>
        <v>6919.5015160000003</v>
      </c>
      <c r="F22" s="18">
        <f>'ILR-FR'!F14</f>
        <v>6988.6965311600006</v>
      </c>
      <c r="G22" s="18">
        <f>'ILR-FR'!G14</f>
        <v>7058.5834964716005</v>
      </c>
      <c r="H22" s="18">
        <f>'ILR-FR'!H14</f>
        <v>7129.1693314363165</v>
      </c>
      <c r="I22" s="18">
        <f>'ILR-FR'!I14</f>
        <v>7200.4610247506798</v>
      </c>
      <c r="J22" s="18">
        <f>'ILR-FR'!J14</f>
        <v>7272.4656349981869</v>
      </c>
      <c r="K22" s="18">
        <f>'ILR-FR'!K14</f>
        <v>7345.190291348169</v>
      </c>
    </row>
    <row r="23" spans="1:11">
      <c r="A23" s="20" t="s">
        <v>174</v>
      </c>
      <c r="B23" s="116">
        <f>B22*$C$9*$C$11</f>
        <v>35</v>
      </c>
      <c r="C23" s="116">
        <f t="shared" ref="C23:K23" si="2">C22*$C$9*$C$11</f>
        <v>35.349999999999994</v>
      </c>
      <c r="D23" s="116">
        <f t="shared" si="2"/>
        <v>35.703499999999998</v>
      </c>
      <c r="E23" s="116">
        <f t="shared" si="2"/>
        <v>36.060535000000002</v>
      </c>
      <c r="F23" s="116">
        <f t="shared" si="2"/>
        <v>36.421140350000002</v>
      </c>
      <c r="G23" s="116">
        <f t="shared" si="2"/>
        <v>36.785351753500002</v>
      </c>
      <c r="H23" s="116">
        <f t="shared" si="2"/>
        <v>37.153205271034999</v>
      </c>
      <c r="I23" s="116">
        <f t="shared" si="2"/>
        <v>37.524737323745349</v>
      </c>
      <c r="J23" s="116">
        <f t="shared" si="2"/>
        <v>37.899984696982806</v>
      </c>
      <c r="K23" s="116">
        <f t="shared" si="2"/>
        <v>38.278984543952639</v>
      </c>
    </row>
    <row r="24" spans="1:11">
      <c r="A24" s="20" t="s">
        <v>175</v>
      </c>
      <c r="B24" s="21">
        <f>IF($C$16+(IF(B21&gt;$C$17,1,B21/$C$17)*((B22*$C$9*$C$11)-$C$16))&gt;B23,B23,$C$16+(IF(B21&gt;$C$17,1,B21/$C$17)*((B22*$C$9*$C$11)-$C$16)))</f>
        <v>17.5</v>
      </c>
      <c r="C24" s="21">
        <f t="shared" ref="C24:K24" si="3">IF($C$16+(IF(C21&gt;$C$17,1,C21/$C$17)*((C22*$C$9*$C$11)-$C$16))&gt;C23,C23,$C$16+(IF(C21&gt;$C$17,1,C21/$C$17)*((C22*$C$9*$C$11)-$C$16)))</f>
        <v>35.349999999999994</v>
      </c>
      <c r="D24" s="21">
        <f t="shared" si="3"/>
        <v>35.703499999999998</v>
      </c>
      <c r="E24" s="21">
        <f t="shared" si="3"/>
        <v>36.060535000000002</v>
      </c>
      <c r="F24" s="21">
        <f t="shared" si="3"/>
        <v>36.421140350000002</v>
      </c>
      <c r="G24" s="21">
        <f t="shared" si="3"/>
        <v>36.785351753500002</v>
      </c>
      <c r="H24" s="21">
        <f t="shared" si="3"/>
        <v>37.153205271034999</v>
      </c>
      <c r="I24" s="21">
        <f t="shared" si="3"/>
        <v>37.524737323745349</v>
      </c>
      <c r="J24" s="21">
        <f t="shared" si="3"/>
        <v>37.899984696982806</v>
      </c>
      <c r="K24" s="21">
        <f t="shared" si="3"/>
        <v>38.278984543952639</v>
      </c>
    </row>
    <row r="25" spans="1:11">
      <c r="A25" s="20" t="s">
        <v>176</v>
      </c>
      <c r="B25" s="22">
        <f>(B24-C16)*C13</f>
        <v>875000</v>
      </c>
      <c r="C25" s="22">
        <f>(C24-B24)*$C$13</f>
        <v>892499.99999999977</v>
      </c>
      <c r="D25" s="22">
        <f t="shared" ref="D25:K25" si="4">(D24-C24)*$C$13</f>
        <v>17675.000000000196</v>
      </c>
      <c r="E25" s="22">
        <f t="shared" si="4"/>
        <v>17851.750000000167</v>
      </c>
      <c r="F25" s="22">
        <f t="shared" si="4"/>
        <v>18030.267500000009</v>
      </c>
      <c r="G25" s="22">
        <f t="shared" si="4"/>
        <v>18210.57017500003</v>
      </c>
      <c r="H25" s="22">
        <f t="shared" si="4"/>
        <v>18392.675876749821</v>
      </c>
      <c r="I25" s="22">
        <f t="shared" si="4"/>
        <v>18576.602635517502</v>
      </c>
      <c r="J25" s="22">
        <f t="shared" si="4"/>
        <v>18762.368661872842</v>
      </c>
      <c r="K25" s="22">
        <f t="shared" si="4"/>
        <v>18949.992348491662</v>
      </c>
    </row>
    <row r="26" spans="1:11">
      <c r="A26" s="20" t="s">
        <v>177</v>
      </c>
      <c r="B26" s="22">
        <f>B24*$C$14</f>
        <v>210000</v>
      </c>
      <c r="C26" s="22">
        <f t="shared" ref="C26:K26" si="5">C24*$C$14</f>
        <v>424199.99999999994</v>
      </c>
      <c r="D26" s="22">
        <f t="shared" si="5"/>
        <v>428442</v>
      </c>
      <c r="E26" s="22">
        <f t="shared" si="5"/>
        <v>432726.42000000004</v>
      </c>
      <c r="F26" s="22">
        <f t="shared" si="5"/>
        <v>437053.68420000002</v>
      </c>
      <c r="G26" s="22">
        <f t="shared" si="5"/>
        <v>441424.22104200005</v>
      </c>
      <c r="H26" s="22">
        <f t="shared" si="5"/>
        <v>445838.46325242001</v>
      </c>
      <c r="I26" s="22">
        <f t="shared" si="5"/>
        <v>450296.84788494417</v>
      </c>
      <c r="J26" s="22">
        <f t="shared" si="5"/>
        <v>454799.81636379368</v>
      </c>
      <c r="K26" s="22">
        <f t="shared" si="5"/>
        <v>459347.81452743168</v>
      </c>
    </row>
    <row r="27" spans="1:11">
      <c r="A27" s="20" t="s">
        <v>178</v>
      </c>
      <c r="B27" s="21">
        <f>B24*$C$18</f>
        <v>17.5</v>
      </c>
      <c r="C27" s="21">
        <f t="shared" ref="C27:K27" si="6">C24*$C$18</f>
        <v>35.349999999999994</v>
      </c>
      <c r="D27" s="21">
        <f t="shared" si="6"/>
        <v>35.703499999999998</v>
      </c>
      <c r="E27" s="21">
        <f t="shared" si="6"/>
        <v>36.060535000000002</v>
      </c>
      <c r="F27" s="21">
        <f t="shared" si="6"/>
        <v>36.421140350000002</v>
      </c>
      <c r="G27" s="21">
        <f t="shared" si="6"/>
        <v>36.785351753500002</v>
      </c>
      <c r="H27" s="21">
        <f t="shared" si="6"/>
        <v>37.153205271034999</v>
      </c>
      <c r="I27" s="21">
        <f t="shared" si="6"/>
        <v>37.524737323745349</v>
      </c>
      <c r="J27" s="21">
        <f t="shared" si="6"/>
        <v>37.899984696982806</v>
      </c>
      <c r="K27" s="21">
        <f t="shared" si="6"/>
        <v>38.278984543952639</v>
      </c>
    </row>
    <row r="28" spans="1:11">
      <c r="A28" s="20" t="s">
        <v>179</v>
      </c>
      <c r="B28" s="23">
        <f>B27*$C$19</f>
        <v>3500</v>
      </c>
      <c r="C28" s="23">
        <f t="shared" ref="C28:K28" si="7">C27*$C$19</f>
        <v>7069.9999999999991</v>
      </c>
      <c r="D28" s="23">
        <f t="shared" si="7"/>
        <v>7140.7</v>
      </c>
      <c r="E28" s="23">
        <f t="shared" si="7"/>
        <v>7212.107</v>
      </c>
      <c r="F28" s="23">
        <f t="shared" si="7"/>
        <v>7284.2280700000001</v>
      </c>
      <c r="G28" s="23">
        <f t="shared" si="7"/>
        <v>7357.0703507000007</v>
      </c>
      <c r="H28" s="23">
        <f t="shared" si="7"/>
        <v>7430.6410542069998</v>
      </c>
      <c r="I28" s="23">
        <f t="shared" si="7"/>
        <v>7504.9474647490697</v>
      </c>
      <c r="J28" s="23">
        <f t="shared" si="7"/>
        <v>7579.9969393965612</v>
      </c>
      <c r="K28" s="23">
        <f t="shared" si="7"/>
        <v>7655.7969087905276</v>
      </c>
    </row>
    <row r="29" spans="1:11">
      <c r="A29" s="26" t="s">
        <v>180</v>
      </c>
      <c r="B29" s="117">
        <f>B22*$D$9*$D$11</f>
        <v>99</v>
      </c>
      <c r="C29" s="117">
        <f t="shared" ref="C29:K29" si="8">C22*$D$9*$D$11</f>
        <v>99.99</v>
      </c>
      <c r="D29" s="117">
        <f t="shared" si="8"/>
        <v>100.98990000000001</v>
      </c>
      <c r="E29" s="117">
        <f t="shared" si="8"/>
        <v>101.999799</v>
      </c>
      <c r="F29" s="117">
        <f t="shared" si="8"/>
        <v>103.01979699</v>
      </c>
      <c r="G29" s="117">
        <f t="shared" si="8"/>
        <v>104.0499949599</v>
      </c>
      <c r="H29" s="117">
        <f t="shared" si="8"/>
        <v>105.090494909499</v>
      </c>
      <c r="I29" s="117">
        <f t="shared" si="8"/>
        <v>106.141399858594</v>
      </c>
      <c r="J29" s="117">
        <f t="shared" si="8"/>
        <v>107.20281385717995</v>
      </c>
      <c r="K29" s="117">
        <f t="shared" si="8"/>
        <v>108.27484199575174</v>
      </c>
    </row>
    <row r="30" spans="1:11">
      <c r="A30" s="26" t="s">
        <v>181</v>
      </c>
      <c r="B30" s="27">
        <f>IF($D$16+(IF(B21&gt;$D$17,1,B21/$D$17)*((B22*$D$9*$D$11)-$D$16))&gt;B29,B29,$D$16+(IF(B21&gt;$D$17,1,B21/$D$17)*((B22*$D$9*$D$11)-$D$16)))</f>
        <v>24.75</v>
      </c>
      <c r="C30" s="27">
        <f t="shared" ref="C30:K30" si="9">IF($D$16+(IF(C21&gt;$D$17,1,C21/$D$17)*((C22*$D$9*$D$11)-$D$16))&gt;C29,C29,$D$16+(IF(C21&gt;$D$17,1,C21/$D$17)*((C22*$D$9*$D$11)-$D$16)))</f>
        <v>49.994999999999997</v>
      </c>
      <c r="D30" s="27">
        <f t="shared" si="9"/>
        <v>75.742424999999997</v>
      </c>
      <c r="E30" s="27">
        <f t="shared" si="9"/>
        <v>101.999799</v>
      </c>
      <c r="F30" s="27">
        <f t="shared" si="9"/>
        <v>103.01979699</v>
      </c>
      <c r="G30" s="27">
        <f t="shared" si="9"/>
        <v>104.0499949599</v>
      </c>
      <c r="H30" s="27">
        <f t="shared" si="9"/>
        <v>105.090494909499</v>
      </c>
      <c r="I30" s="27">
        <f t="shared" si="9"/>
        <v>106.141399858594</v>
      </c>
      <c r="J30" s="27">
        <f t="shared" si="9"/>
        <v>107.20281385717995</v>
      </c>
      <c r="K30" s="27">
        <f t="shared" si="9"/>
        <v>108.27484199575174</v>
      </c>
    </row>
    <row r="31" spans="1:11">
      <c r="A31" s="26" t="s">
        <v>182</v>
      </c>
      <c r="B31" s="28">
        <f>(B30-D16)*D13</f>
        <v>247500</v>
      </c>
      <c r="C31" s="28">
        <f>(C30-B30)*$D$13</f>
        <v>252449.99999999997</v>
      </c>
      <c r="D31" s="28">
        <f t="shared" ref="D31:K31" si="10">(D30-C30)*$D$13</f>
        <v>257474.25</v>
      </c>
      <c r="E31" s="28">
        <f t="shared" si="10"/>
        <v>262573.74</v>
      </c>
      <c r="F31" s="28">
        <f t="shared" si="10"/>
        <v>10199.979900000073</v>
      </c>
      <c r="G31" s="28">
        <f t="shared" si="10"/>
        <v>10301.979699000014</v>
      </c>
      <c r="H31" s="28">
        <f t="shared" si="10"/>
        <v>10404.999495989956</v>
      </c>
      <c r="I31" s="28">
        <f t="shared" si="10"/>
        <v>10509.04949094999</v>
      </c>
      <c r="J31" s="28">
        <f t="shared" si="10"/>
        <v>10614.139985859481</v>
      </c>
      <c r="K31" s="28">
        <f t="shared" si="10"/>
        <v>10720.281385717954</v>
      </c>
    </row>
    <row r="32" spans="1:11">
      <c r="A32" s="26" t="s">
        <v>183</v>
      </c>
      <c r="B32" s="28">
        <f>B30*$D$14</f>
        <v>29700</v>
      </c>
      <c r="C32" s="28">
        <f t="shared" ref="C32:K32" si="11">C30*$D$14</f>
        <v>59994</v>
      </c>
      <c r="D32" s="28">
        <f t="shared" si="11"/>
        <v>90890.91</v>
      </c>
      <c r="E32" s="28">
        <f t="shared" si="11"/>
        <v>122399.7588</v>
      </c>
      <c r="F32" s="28">
        <f t="shared" si="11"/>
        <v>123623.75638800001</v>
      </c>
      <c r="G32" s="28">
        <f t="shared" si="11"/>
        <v>124859.99395188001</v>
      </c>
      <c r="H32" s="28">
        <f t="shared" si="11"/>
        <v>126108.59389139881</v>
      </c>
      <c r="I32" s="28">
        <f t="shared" si="11"/>
        <v>127369.6798303128</v>
      </c>
      <c r="J32" s="28">
        <f t="shared" si="11"/>
        <v>128643.37662861594</v>
      </c>
      <c r="K32" s="28">
        <f t="shared" si="11"/>
        <v>129929.81039490209</v>
      </c>
    </row>
    <row r="33" spans="1:14">
      <c r="A33" s="26" t="s">
        <v>184</v>
      </c>
      <c r="B33" s="27">
        <f>B30*$D$18</f>
        <v>24.75</v>
      </c>
      <c r="C33" s="27">
        <f t="shared" ref="C33:K33" si="12">C30*$D$18</f>
        <v>49.994999999999997</v>
      </c>
      <c r="D33" s="27">
        <f t="shared" si="12"/>
        <v>75.742424999999997</v>
      </c>
      <c r="E33" s="27">
        <f t="shared" si="12"/>
        <v>101.999799</v>
      </c>
      <c r="F33" s="27">
        <f t="shared" si="12"/>
        <v>103.01979699</v>
      </c>
      <c r="G33" s="27">
        <f t="shared" si="12"/>
        <v>104.0499949599</v>
      </c>
      <c r="H33" s="27">
        <f t="shared" si="12"/>
        <v>105.090494909499</v>
      </c>
      <c r="I33" s="27">
        <f t="shared" si="12"/>
        <v>106.141399858594</v>
      </c>
      <c r="J33" s="27">
        <f t="shared" si="12"/>
        <v>107.20281385717995</v>
      </c>
      <c r="K33" s="27">
        <f t="shared" si="12"/>
        <v>108.27484199575174</v>
      </c>
    </row>
    <row r="34" spans="1:14">
      <c r="A34" s="26" t="s">
        <v>185</v>
      </c>
      <c r="B34" s="29">
        <f>B33*$D$19</f>
        <v>2475</v>
      </c>
      <c r="C34" s="29">
        <f t="shared" ref="C34:K34" si="13">C33*$D$19</f>
        <v>4999.5</v>
      </c>
      <c r="D34" s="29">
        <f t="shared" si="13"/>
        <v>7574.2424999999994</v>
      </c>
      <c r="E34" s="29">
        <f t="shared" si="13"/>
        <v>10199.9799</v>
      </c>
      <c r="F34" s="29">
        <f t="shared" si="13"/>
        <v>10301.979699</v>
      </c>
      <c r="G34" s="29">
        <f t="shared" si="13"/>
        <v>10404.99949599</v>
      </c>
      <c r="H34" s="29">
        <f t="shared" si="13"/>
        <v>10509.049490949899</v>
      </c>
      <c r="I34" s="29">
        <f t="shared" si="13"/>
        <v>10614.1399858594</v>
      </c>
      <c r="J34" s="29">
        <f t="shared" si="13"/>
        <v>10720.281385717995</v>
      </c>
      <c r="K34" s="29">
        <f t="shared" si="13"/>
        <v>10827.484199575174</v>
      </c>
    </row>
    <row r="35" spans="1:14">
      <c r="A35" s="31" t="s">
        <v>186</v>
      </c>
      <c r="B35" s="118">
        <f>B22*$E$9*$E$11</f>
        <v>1237</v>
      </c>
      <c r="C35" s="118">
        <f t="shared" ref="C35:K35" si="14">C22*$E$9*$E$11</f>
        <v>1249.3700000000001</v>
      </c>
      <c r="D35" s="118">
        <f t="shared" si="14"/>
        <v>1261.8637000000001</v>
      </c>
      <c r="E35" s="118">
        <f t="shared" si="14"/>
        <v>1274.4823370000001</v>
      </c>
      <c r="F35" s="118">
        <f t="shared" si="14"/>
        <v>1287.2271603700001</v>
      </c>
      <c r="G35" s="118">
        <f t="shared" si="14"/>
        <v>1300.0994319737001</v>
      </c>
      <c r="H35" s="118">
        <f t="shared" si="14"/>
        <v>1313.1004262934371</v>
      </c>
      <c r="I35" s="118">
        <f t="shared" si="14"/>
        <v>1326.2314305563716</v>
      </c>
      <c r="J35" s="118">
        <f t="shared" si="14"/>
        <v>1339.4937448619353</v>
      </c>
      <c r="K35" s="118">
        <f t="shared" si="14"/>
        <v>1352.8886823105547</v>
      </c>
    </row>
    <row r="36" spans="1:14">
      <c r="A36" s="31" t="s">
        <v>187</v>
      </c>
      <c r="B36" s="32">
        <f>IF($E$16+(IF(B21&gt;$E$17,1,B21/$E$17)*((B22*$E$9*$E$11)-$E$16))&gt;B35,B35,$E$16+(IF(B21&gt;$E$17,1,B21/$E$17)*((B22*$E$9*$E$11)-$E$16)))</f>
        <v>309.25</v>
      </c>
      <c r="C36" s="32">
        <f t="shared" ref="C36:K36" si="15">IF($E$16+(IF(C21&gt;$E$17,1,C21/$E$17)*((C22*$E$9*$E$11)-$E$16))&gt;C35,C35,$E$16+(IF(C21&gt;$E$17,1,C21/$E$17)*((C22*$E$9*$E$11)-$E$16)))</f>
        <v>624.68500000000006</v>
      </c>
      <c r="D36" s="32">
        <f t="shared" si="15"/>
        <v>946.39777500000014</v>
      </c>
      <c r="E36" s="32">
        <f t="shared" si="15"/>
        <v>1274.4823370000001</v>
      </c>
      <c r="F36" s="32">
        <f t="shared" si="15"/>
        <v>1287.2271603700001</v>
      </c>
      <c r="G36" s="32">
        <f t="shared" si="15"/>
        <v>1300.0994319737001</v>
      </c>
      <c r="H36" s="32">
        <f t="shared" si="15"/>
        <v>1313.1004262934371</v>
      </c>
      <c r="I36" s="32">
        <f t="shared" si="15"/>
        <v>1326.2314305563716</v>
      </c>
      <c r="J36" s="32">
        <f t="shared" si="15"/>
        <v>1339.4937448619353</v>
      </c>
      <c r="K36" s="32">
        <f t="shared" si="15"/>
        <v>1352.8886823105547</v>
      </c>
    </row>
    <row r="37" spans="1:14">
      <c r="A37" s="31" t="s">
        <v>188</v>
      </c>
      <c r="B37" s="33">
        <f>(B36-E16)*E13</f>
        <v>618500</v>
      </c>
      <c r="C37" s="33">
        <f>(C36-B36)*$E$13</f>
        <v>630870.00000000012</v>
      </c>
      <c r="D37" s="33">
        <f t="shared" ref="D37:K37" si="16">(D36-C36)*$E$13</f>
        <v>643425.55000000016</v>
      </c>
      <c r="E37" s="33">
        <f t="shared" si="16"/>
        <v>656169.12400000007</v>
      </c>
      <c r="F37" s="33">
        <f t="shared" si="16"/>
        <v>25489.646739999898</v>
      </c>
      <c r="G37" s="33">
        <f t="shared" si="16"/>
        <v>25744.543207400056</v>
      </c>
      <c r="H37" s="33">
        <f t="shared" si="16"/>
        <v>26001.988639473893</v>
      </c>
      <c r="I37" s="33">
        <f t="shared" si="16"/>
        <v>26262.008525869078</v>
      </c>
      <c r="J37" s="33">
        <f t="shared" si="16"/>
        <v>26524.628611127355</v>
      </c>
      <c r="K37" s="33">
        <f t="shared" si="16"/>
        <v>26789.87489723886</v>
      </c>
    </row>
    <row r="38" spans="1:14">
      <c r="A38" s="31" t="s">
        <v>189</v>
      </c>
      <c r="B38" s="33">
        <f>B36*$E$14</f>
        <v>371100</v>
      </c>
      <c r="C38" s="33">
        <f t="shared" ref="C38:K38" si="17">C36*$E$14</f>
        <v>749622.00000000012</v>
      </c>
      <c r="D38" s="33">
        <f t="shared" si="17"/>
        <v>1135677.33</v>
      </c>
      <c r="E38" s="33">
        <f t="shared" si="17"/>
        <v>1529378.8044000003</v>
      </c>
      <c r="F38" s="33">
        <f t="shared" si="17"/>
        <v>1544672.5924440001</v>
      </c>
      <c r="G38" s="33">
        <f t="shared" si="17"/>
        <v>1560119.31836844</v>
      </c>
      <c r="H38" s="33">
        <f t="shared" si="17"/>
        <v>1575720.5115521245</v>
      </c>
      <c r="I38" s="33">
        <f t="shared" si="17"/>
        <v>1591477.7166676458</v>
      </c>
      <c r="J38" s="33">
        <f t="shared" si="17"/>
        <v>1607392.4938343223</v>
      </c>
      <c r="K38" s="33">
        <f t="shared" si="17"/>
        <v>1623466.4187726656</v>
      </c>
    </row>
    <row r="39" spans="1:14">
      <c r="A39" s="31" t="s">
        <v>190</v>
      </c>
      <c r="B39" s="32">
        <f>B36*$E$18</f>
        <v>309.25</v>
      </c>
      <c r="C39" s="32">
        <f t="shared" ref="C39:K39" si="18">C36*$E$18</f>
        <v>624.68500000000006</v>
      </c>
      <c r="D39" s="32">
        <f t="shared" si="18"/>
        <v>946.39777500000014</v>
      </c>
      <c r="E39" s="32">
        <f t="shared" si="18"/>
        <v>1274.4823370000001</v>
      </c>
      <c r="F39" s="32">
        <f t="shared" si="18"/>
        <v>1287.2271603700001</v>
      </c>
      <c r="G39" s="32">
        <f t="shared" si="18"/>
        <v>1300.0994319737001</v>
      </c>
      <c r="H39" s="32">
        <f t="shared" si="18"/>
        <v>1313.1004262934371</v>
      </c>
      <c r="I39" s="32">
        <f t="shared" si="18"/>
        <v>1326.2314305563716</v>
      </c>
      <c r="J39" s="32">
        <f t="shared" si="18"/>
        <v>1339.4937448619353</v>
      </c>
      <c r="K39" s="32">
        <f t="shared" si="18"/>
        <v>1352.8886823105547</v>
      </c>
    </row>
    <row r="40" spans="1:14">
      <c r="A40" s="31" t="s">
        <v>191</v>
      </c>
      <c r="B40" s="34">
        <f>B39*$E$19</f>
        <v>15462.5</v>
      </c>
      <c r="C40" s="34">
        <f t="shared" ref="C40:K40" si="19">C39*$E$19</f>
        <v>31234.250000000004</v>
      </c>
      <c r="D40" s="34">
        <f t="shared" si="19"/>
        <v>47319.888750000006</v>
      </c>
      <c r="E40" s="34">
        <f t="shared" si="19"/>
        <v>63724.116850000006</v>
      </c>
      <c r="F40" s="34">
        <f t="shared" si="19"/>
        <v>64361.358018500003</v>
      </c>
      <c r="G40" s="34">
        <f t="shared" si="19"/>
        <v>65004.971598685006</v>
      </c>
      <c r="H40" s="34">
        <f t="shared" si="19"/>
        <v>65655.02131467186</v>
      </c>
      <c r="I40" s="34">
        <f t="shared" si="19"/>
        <v>66311.571527818582</v>
      </c>
      <c r="J40" s="34">
        <f t="shared" si="19"/>
        <v>66974.687243096763</v>
      </c>
      <c r="K40" s="34">
        <f t="shared" si="19"/>
        <v>67644.434115527736</v>
      </c>
    </row>
    <row r="41" spans="1:14">
      <c r="A41" s="36" t="s">
        <v>192</v>
      </c>
      <c r="B41" s="119">
        <f>B22*$F$9*$F$11</f>
        <v>5344.9999999999991</v>
      </c>
      <c r="C41" s="119">
        <f t="shared" ref="C41:K41" si="20">C22*$F$9*$F$11</f>
        <v>5398.4499999999989</v>
      </c>
      <c r="D41" s="119">
        <f t="shared" si="20"/>
        <v>5452.4344999999994</v>
      </c>
      <c r="E41" s="119">
        <f t="shared" si="20"/>
        <v>5506.9588449999992</v>
      </c>
      <c r="F41" s="119">
        <f t="shared" si="20"/>
        <v>5562.0284334499993</v>
      </c>
      <c r="G41" s="119">
        <f t="shared" si="20"/>
        <v>5617.6487177844992</v>
      </c>
      <c r="H41" s="119">
        <f t="shared" si="20"/>
        <v>5673.8252049623443</v>
      </c>
      <c r="I41" s="119">
        <f t="shared" si="20"/>
        <v>5730.5634570119682</v>
      </c>
      <c r="J41" s="119">
        <f t="shared" si="20"/>
        <v>5787.869091582088</v>
      </c>
      <c r="K41" s="119">
        <f t="shared" si="20"/>
        <v>5845.7477824979087</v>
      </c>
    </row>
    <row r="42" spans="1:14">
      <c r="A42" s="36" t="s">
        <v>193</v>
      </c>
      <c r="B42" s="37">
        <f>IF($F$16+(IF(B21&gt;$F$17,1,B21/$F$17)*((B22*$F$9*$F$11)-$F$16))&gt;B41,B41,$F$16+(IF(B21&gt;$F$17,1,B21/$F$17)*((B22*$F$9*$F$11)-$F$16)))</f>
        <v>1336.2499999999998</v>
      </c>
      <c r="C42" s="37">
        <f t="shared" ref="C42:K42" si="21">IF($F$16+(IF(C21&gt;$F$17,1,C21/$F$17)*((C22*$F$9*$F$11)-$F$16))&gt;C41,C41,$F$16+(IF(C21&gt;$F$17,1,C21/$F$17)*((C22*$F$9*$F$11)-$F$16)))</f>
        <v>2699.2249999999995</v>
      </c>
      <c r="D42" s="37">
        <f t="shared" si="21"/>
        <v>4089.3258749999995</v>
      </c>
      <c r="E42" s="37">
        <f t="shared" si="21"/>
        <v>5506.9588449999992</v>
      </c>
      <c r="F42" s="37">
        <f t="shared" si="21"/>
        <v>5562.0284334499993</v>
      </c>
      <c r="G42" s="37">
        <f t="shared" si="21"/>
        <v>5617.6487177844992</v>
      </c>
      <c r="H42" s="37">
        <f t="shared" si="21"/>
        <v>5673.8252049623443</v>
      </c>
      <c r="I42" s="37">
        <f t="shared" si="21"/>
        <v>5730.5634570119682</v>
      </c>
      <c r="J42" s="37">
        <f t="shared" si="21"/>
        <v>5787.869091582088</v>
      </c>
      <c r="K42" s="37">
        <f t="shared" si="21"/>
        <v>5845.7477824979087</v>
      </c>
    </row>
    <row r="43" spans="1:14">
      <c r="A43" s="36" t="s">
        <v>194</v>
      </c>
      <c r="B43" s="38">
        <f>(B42-F16)*F13</f>
        <v>1336249.9999999998</v>
      </c>
      <c r="C43" s="38">
        <f>(C42-B42)*$F$13</f>
        <v>1362974.9999999998</v>
      </c>
      <c r="D43" s="38">
        <f t="shared" ref="D43:K43" si="22">(D42-C42)*$F$13</f>
        <v>1390100.875</v>
      </c>
      <c r="E43" s="38">
        <f t="shared" si="22"/>
        <v>1417632.9699999997</v>
      </c>
      <c r="F43" s="38">
        <f t="shared" si="22"/>
        <v>55069.588450000083</v>
      </c>
      <c r="G43" s="38">
        <f t="shared" si="22"/>
        <v>55620.284334499956</v>
      </c>
      <c r="H43" s="38">
        <f t="shared" si="22"/>
        <v>56176.487177845047</v>
      </c>
      <c r="I43" s="38">
        <f t="shared" si="22"/>
        <v>56738.252049623952</v>
      </c>
      <c r="J43" s="38">
        <f t="shared" si="22"/>
        <v>57305.634570119764</v>
      </c>
      <c r="K43" s="38">
        <f t="shared" si="22"/>
        <v>57878.690915820698</v>
      </c>
    </row>
    <row r="44" spans="1:14">
      <c r="A44" s="36" t="s">
        <v>195</v>
      </c>
      <c r="B44" s="38">
        <f>B42*$F$14</f>
        <v>400874.99999999994</v>
      </c>
      <c r="C44" s="38">
        <f t="shared" ref="C44:K44" si="23">C42*$F$14</f>
        <v>809767.49999999988</v>
      </c>
      <c r="D44" s="38">
        <f t="shared" si="23"/>
        <v>1226797.7625</v>
      </c>
      <c r="E44" s="38">
        <f t="shared" si="23"/>
        <v>1652087.6534999998</v>
      </c>
      <c r="F44" s="38">
        <f t="shared" si="23"/>
        <v>1668608.5300349998</v>
      </c>
      <c r="G44" s="38">
        <f t="shared" si="23"/>
        <v>1685294.6153353497</v>
      </c>
      <c r="H44" s="38">
        <f t="shared" si="23"/>
        <v>1702147.5614887034</v>
      </c>
      <c r="I44" s="38">
        <f t="shared" si="23"/>
        <v>1719169.0371035906</v>
      </c>
      <c r="J44" s="38">
        <f t="shared" si="23"/>
        <v>1736360.7274746264</v>
      </c>
      <c r="K44" s="38">
        <f t="shared" si="23"/>
        <v>1753724.3347493727</v>
      </c>
    </row>
    <row r="45" spans="1:14">
      <c r="A45" s="36" t="s">
        <v>196</v>
      </c>
      <c r="B45" s="37">
        <f>B42*$F$18</f>
        <v>5344.9999999999991</v>
      </c>
      <c r="C45" s="37">
        <f t="shared" ref="C45:K45" si="24">C42*$F$18</f>
        <v>10796.899999999998</v>
      </c>
      <c r="D45" s="37">
        <f t="shared" si="24"/>
        <v>16357.303499999998</v>
      </c>
      <c r="E45" s="37">
        <f t="shared" si="24"/>
        <v>22027.835379999997</v>
      </c>
      <c r="F45" s="37">
        <f t="shared" si="24"/>
        <v>22248.113733799997</v>
      </c>
      <c r="G45" s="37">
        <f t="shared" si="24"/>
        <v>22470.594871137997</v>
      </c>
      <c r="H45" s="37">
        <f t="shared" si="24"/>
        <v>22695.300819849377</v>
      </c>
      <c r="I45" s="37">
        <f t="shared" si="24"/>
        <v>22922.253828047873</v>
      </c>
      <c r="J45" s="37">
        <f t="shared" si="24"/>
        <v>23151.476366328352</v>
      </c>
      <c r="K45" s="37">
        <f t="shared" si="24"/>
        <v>23382.991129991635</v>
      </c>
    </row>
    <row r="46" spans="1:14">
      <c r="A46" s="36" t="s">
        <v>197</v>
      </c>
      <c r="B46" s="39">
        <f>B45*$F$19</f>
        <v>26724.999999999996</v>
      </c>
      <c r="C46" s="39">
        <f t="shared" ref="C46:K46" si="25">C45*$F$19</f>
        <v>53984.499999999985</v>
      </c>
      <c r="D46" s="39">
        <f t="shared" si="25"/>
        <v>81786.517499999987</v>
      </c>
      <c r="E46" s="39">
        <f t="shared" si="25"/>
        <v>110139.17689999999</v>
      </c>
      <c r="F46" s="39">
        <f t="shared" si="25"/>
        <v>111240.56866899999</v>
      </c>
      <c r="G46" s="39">
        <f t="shared" si="25"/>
        <v>112352.97435568998</v>
      </c>
      <c r="H46" s="39">
        <f t="shared" si="25"/>
        <v>113476.50409924689</v>
      </c>
      <c r="I46" s="39">
        <f t="shared" si="25"/>
        <v>114611.26914023937</v>
      </c>
      <c r="J46" s="39">
        <f t="shared" si="25"/>
        <v>115757.38183164176</v>
      </c>
      <c r="K46" s="39">
        <f t="shared" si="25"/>
        <v>116914.95564995817</v>
      </c>
    </row>
    <row r="47" spans="1:14">
      <c r="A47" s="120" t="s">
        <v>198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3" t="s">
        <v>21</v>
      </c>
      <c r="M47" s="140" t="s">
        <v>115</v>
      </c>
      <c r="N47" s="140" t="s">
        <v>47</v>
      </c>
    </row>
    <row r="48" spans="1:14">
      <c r="A48" s="121" t="s">
        <v>199</v>
      </c>
      <c r="B48" s="122">
        <f>B2*B3</f>
        <v>250000</v>
      </c>
      <c r="C48" s="122">
        <f>$B$48*$B$4*(1+$B$6)^(C$21-1)</f>
        <v>40875</v>
      </c>
      <c r="D48" s="122">
        <f t="shared" ref="D48:K48" si="26">$B$48*$B$4*(1+$B$6)^(D$21-1)</f>
        <v>44553.750000000007</v>
      </c>
      <c r="E48" s="122">
        <f t="shared" si="26"/>
        <v>48563.587500000009</v>
      </c>
      <c r="F48" s="122">
        <f t="shared" si="26"/>
        <v>52934.310375000008</v>
      </c>
      <c r="G48" s="122">
        <f t="shared" si="26"/>
        <v>57698.398308750016</v>
      </c>
      <c r="H48" s="122">
        <f t="shared" si="26"/>
        <v>62891.254156537521</v>
      </c>
      <c r="I48" s="122">
        <f t="shared" si="26"/>
        <v>68551.467030625892</v>
      </c>
      <c r="J48" s="122">
        <f t="shared" si="26"/>
        <v>74721.099063382237</v>
      </c>
      <c r="K48" s="123">
        <f t="shared" si="26"/>
        <v>81445.997979086649</v>
      </c>
      <c r="L48" s="14">
        <f>SUM(B48:K48)</f>
        <v>782234.86441338225</v>
      </c>
      <c r="M48" s="141">
        <f>SUM(B48:K48)</f>
        <v>782234.86441338225</v>
      </c>
      <c r="N48" s="142">
        <f>M48/$K$54</f>
        <v>1.1232520388084297E-2</v>
      </c>
    </row>
    <row r="49" spans="1:14">
      <c r="A49" s="124" t="s">
        <v>200</v>
      </c>
      <c r="B49" s="23">
        <f>B25+B26+B28</f>
        <v>1088500</v>
      </c>
      <c r="C49" s="23">
        <f>(C25+C26+C28)*(1+$B$6)^(C$21-1)</f>
        <v>1442909.2999999998</v>
      </c>
      <c r="D49" s="23">
        <f t="shared" ref="D49:K49" si="27">(D25+D26+D28)*(1+$B$6)^(D$21-1)</f>
        <v>538515.47337000025</v>
      </c>
      <c r="E49" s="23">
        <f t="shared" si="27"/>
        <v>592851.68463303335</v>
      </c>
      <c r="F49" s="23">
        <f t="shared" si="27"/>
        <v>652670.41961250617</v>
      </c>
      <c r="G49" s="23">
        <f t="shared" si="27"/>
        <v>718524.86495140824</v>
      </c>
      <c r="H49" s="23">
        <f t="shared" si="27"/>
        <v>791024.02382500493</v>
      </c>
      <c r="I49" s="23">
        <f t="shared" si="27"/>
        <v>870838.34782894806</v>
      </c>
      <c r="J49" s="23">
        <f t="shared" si="27"/>
        <v>958705.93712488958</v>
      </c>
      <c r="K49" s="125">
        <f t="shared" si="27"/>
        <v>1055439.3661807915</v>
      </c>
      <c r="L49" s="14">
        <f t="shared" ref="L49:L52" si="28">SUM(B49:K49)</f>
        <v>8709979.4175265804</v>
      </c>
      <c r="M49" s="141">
        <f t="shared" ref="M49:M53" si="29">SUM(B49:K49)</f>
        <v>8709979.4175265804</v>
      </c>
      <c r="N49" s="142">
        <f t="shared" ref="N49:N53" si="30">M49/$K$54</f>
        <v>0.12507115936404964</v>
      </c>
    </row>
    <row r="50" spans="1:14">
      <c r="A50" s="126" t="s">
        <v>201</v>
      </c>
      <c r="B50" s="29">
        <f>B31+B32+B34</f>
        <v>279675</v>
      </c>
      <c r="C50" s="29">
        <f>(C31+C32+C34)*(1+$B$6)^(C$21-1)</f>
        <v>346013.41500000004</v>
      </c>
      <c r="D50" s="29">
        <f t="shared" ref="D50:K50" si="31">(D31+D32+D34)*(1+$B$6)^(D$21-1)</f>
        <v>422891.60411025007</v>
      </c>
      <c r="E50" s="29">
        <f t="shared" si="31"/>
        <v>511761.11494738236</v>
      </c>
      <c r="F50" s="29">
        <f t="shared" si="31"/>
        <v>203445.21021533234</v>
      </c>
      <c r="G50" s="29">
        <f t="shared" si="31"/>
        <v>223972.8319260593</v>
      </c>
      <c r="H50" s="29">
        <f t="shared" si="31"/>
        <v>246571.69066739862</v>
      </c>
      <c r="I50" s="29">
        <f t="shared" si="31"/>
        <v>271450.77425573941</v>
      </c>
      <c r="J50" s="29">
        <f t="shared" si="31"/>
        <v>298840.15737814351</v>
      </c>
      <c r="K50" s="127">
        <f t="shared" si="31"/>
        <v>328993.12925759796</v>
      </c>
      <c r="L50" s="14">
        <f t="shared" si="28"/>
        <v>3133614.9277579035</v>
      </c>
      <c r="M50" s="141">
        <f t="shared" si="29"/>
        <v>3133614.9277579035</v>
      </c>
      <c r="N50" s="142">
        <f t="shared" si="30"/>
        <v>4.4997219077983847E-2</v>
      </c>
    </row>
    <row r="51" spans="1:14">
      <c r="A51" s="128" t="s">
        <v>202</v>
      </c>
      <c r="B51" s="34">
        <f>B37+B38+B40</f>
        <v>1005062.5</v>
      </c>
      <c r="C51" s="34">
        <f>(C37+C38+C40)*(1+$B$6)^(C$21-1)</f>
        <v>1538781.6125000003</v>
      </c>
      <c r="D51" s="34">
        <f t="shared" ref="D51:K51" si="32">(D37+D38+D40)*(1+$B$6)^(D$21-1)</f>
        <v>2169972.8915518755</v>
      </c>
      <c r="E51" s="34">
        <f t="shared" si="32"/>
        <v>2912872.5274880631</v>
      </c>
      <c r="F51" s="34">
        <f t="shared" si="32"/>
        <v>2307263.4509220971</v>
      </c>
      <c r="G51" s="34">
        <f t="shared" si="32"/>
        <v>2540066.333120137</v>
      </c>
      <c r="H51" s="34">
        <f t="shared" si="32"/>
        <v>2796359.0261319592</v>
      </c>
      <c r="I51" s="34">
        <f t="shared" si="32"/>
        <v>3078511.6518686744</v>
      </c>
      <c r="J51" s="34">
        <f t="shared" si="32"/>
        <v>3389133.4775422229</v>
      </c>
      <c r="K51" s="129">
        <f t="shared" si="32"/>
        <v>3731097.0454262337</v>
      </c>
      <c r="L51" s="14">
        <f t="shared" si="28"/>
        <v>25469120.516551264</v>
      </c>
      <c r="M51" s="141">
        <f t="shared" si="29"/>
        <v>25469120.516551264</v>
      </c>
      <c r="N51" s="142">
        <f t="shared" si="30"/>
        <v>0.36572444988536601</v>
      </c>
    </row>
    <row r="52" spans="1:14">
      <c r="A52" s="130" t="s">
        <v>203</v>
      </c>
      <c r="B52" s="131">
        <f>B43+B44+B46</f>
        <v>1763849.9999999998</v>
      </c>
      <c r="C52" s="131">
        <f>(C43+C44+C46)*(1+$B$6)^(C$21-1)</f>
        <v>2427132.4299999997</v>
      </c>
      <c r="D52" s="131">
        <f t="shared" ref="D52:K52" si="33">(D43+D44+D46)*(1+$B$6)^(D$21-1)</f>
        <v>3206307.8326555006</v>
      </c>
      <c r="E52" s="131">
        <f t="shared" si="33"/>
        <v>4118010.6574522117</v>
      </c>
      <c r="F52" s="131">
        <f t="shared" si="33"/>
        <v>2590137.4746319302</v>
      </c>
      <c r="G52" s="131">
        <f t="shared" si="33"/>
        <v>2851482.3458222914</v>
      </c>
      <c r="H52" s="131">
        <f t="shared" si="33"/>
        <v>3139196.9145157617</v>
      </c>
      <c r="I52" s="131">
        <f t="shared" si="33"/>
        <v>3455941.8831904028</v>
      </c>
      <c r="J52" s="131">
        <f t="shared" si="33"/>
        <v>3804646.4192043138</v>
      </c>
      <c r="K52" s="132">
        <f t="shared" si="33"/>
        <v>4188535.2429020288</v>
      </c>
      <c r="L52" s="14">
        <f t="shared" si="28"/>
        <v>31545241.200374439</v>
      </c>
      <c r="M52" s="141">
        <f t="shared" si="29"/>
        <v>31545241.200374439</v>
      </c>
      <c r="N52" s="142">
        <f t="shared" si="30"/>
        <v>0.45297465128451619</v>
      </c>
    </row>
    <row r="53" spans="1:14">
      <c r="A53" s="2" t="s">
        <v>67</v>
      </c>
      <c r="B53" s="14">
        <f>SUM(B48:B52)</f>
        <v>4387087.5</v>
      </c>
      <c r="C53" s="14">
        <f>SUM(C48:C52)</f>
        <v>5795711.7575000003</v>
      </c>
      <c r="D53" s="14">
        <f t="shared" ref="D53:K53" si="34">SUM(D48:D52)</f>
        <v>6382241.5516876262</v>
      </c>
      <c r="E53" s="14">
        <f t="shared" si="34"/>
        <v>8184059.5720206909</v>
      </c>
      <c r="F53" s="14">
        <f t="shared" si="34"/>
        <v>5806450.8657568656</v>
      </c>
      <c r="G53" s="14">
        <f t="shared" si="34"/>
        <v>6391744.7741286457</v>
      </c>
      <c r="H53" s="14">
        <f t="shared" si="34"/>
        <v>7036042.9092966616</v>
      </c>
      <c r="I53" s="14">
        <f t="shared" si="34"/>
        <v>7745294.12417439</v>
      </c>
      <c r="J53" s="14">
        <f t="shared" si="34"/>
        <v>8526047.0903129522</v>
      </c>
      <c r="K53" s="14">
        <f t="shared" si="34"/>
        <v>9385510.7817457393</v>
      </c>
      <c r="L53" s="52">
        <f>SUM(L48:L52)</f>
        <v>69640190.926623568</v>
      </c>
      <c r="M53" s="141">
        <f t="shared" si="29"/>
        <v>69640190.926623568</v>
      </c>
      <c r="N53" s="142">
        <f t="shared" si="30"/>
        <v>1</v>
      </c>
    </row>
    <row r="54" spans="1:14">
      <c r="A54" s="2" t="s">
        <v>94</v>
      </c>
      <c r="B54" s="14">
        <f>B53</f>
        <v>4387087.5</v>
      </c>
      <c r="C54" s="14">
        <f>B54+C53</f>
        <v>10182799.2575</v>
      </c>
      <c r="D54" s="14">
        <f t="shared" ref="D54:K54" si="35">C54+D53</f>
        <v>16565040.809187626</v>
      </c>
      <c r="E54" s="14">
        <f t="shared" si="35"/>
        <v>24749100.381208315</v>
      </c>
      <c r="F54" s="14">
        <f t="shared" si="35"/>
        <v>30555551.246965181</v>
      </c>
      <c r="G54" s="14">
        <f t="shared" si="35"/>
        <v>36947296.02109383</v>
      </c>
      <c r="H54" s="14">
        <f t="shared" si="35"/>
        <v>43983338.930390492</v>
      </c>
      <c r="I54" s="14">
        <f t="shared" si="35"/>
        <v>51728633.054564878</v>
      </c>
      <c r="J54" s="14">
        <f t="shared" si="35"/>
        <v>60254680.144877829</v>
      </c>
      <c r="K54" s="14">
        <f t="shared" si="35"/>
        <v>69640190.926623568</v>
      </c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M19"/>
  <sheetViews>
    <sheetView zoomScaleNormal="100" workbookViewId="0">
      <selection activeCell="M18" sqref="M18"/>
    </sheetView>
  </sheetViews>
  <sheetFormatPr defaultRowHeight="15"/>
  <cols>
    <col min="1" max="1" width="40.7109375" customWidth="1"/>
    <col min="2" max="11" width="15.7109375" customWidth="1"/>
    <col min="12" max="13" width="14.42578125" customWidth="1"/>
  </cols>
  <sheetData>
    <row r="2" spans="1:13" hidden="1">
      <c r="A2" t="s">
        <v>204</v>
      </c>
      <c r="B2" s="7">
        <v>1</v>
      </c>
    </row>
    <row r="3" spans="1:13">
      <c r="A3" t="s">
        <v>205</v>
      </c>
      <c r="B3" s="97">
        <v>250000</v>
      </c>
      <c r="C3" s="57" t="s">
        <v>206</v>
      </c>
    </row>
    <row r="4" spans="1:13">
      <c r="A4" t="s">
        <v>207</v>
      </c>
      <c r="B4" s="98">
        <v>0.15</v>
      </c>
      <c r="C4" s="57" t="s">
        <v>208</v>
      </c>
    </row>
    <row r="5" spans="1:13">
      <c r="B5" s="8"/>
    </row>
    <row r="6" spans="1:13">
      <c r="A6" t="s">
        <v>0</v>
      </c>
      <c r="B6" s="59">
        <f>Summary!$B$2</f>
        <v>0.09</v>
      </c>
    </row>
    <row r="7" spans="1:13">
      <c r="B7" s="9"/>
    </row>
    <row r="8" spans="1:13">
      <c r="A8" t="s">
        <v>209</v>
      </c>
      <c r="B8" s="42">
        <f>SHR!B2</f>
        <v>10</v>
      </c>
    </row>
    <row r="9" spans="1:13" hidden="1">
      <c r="A9" t="s">
        <v>132</v>
      </c>
      <c r="B9" s="8">
        <v>0</v>
      </c>
    </row>
    <row r="10" spans="1:13">
      <c r="A10" t="s">
        <v>210</v>
      </c>
      <c r="B10" s="100">
        <v>4</v>
      </c>
      <c r="C10" s="57" t="s">
        <v>211</v>
      </c>
    </row>
    <row r="11" spans="1:13">
      <c r="A11" t="s">
        <v>135</v>
      </c>
      <c r="B11" s="97">
        <v>1000</v>
      </c>
      <c r="C11" s="57" t="s">
        <v>212</v>
      </c>
    </row>
    <row r="13" spans="1:13">
      <c r="A13" s="2" t="s">
        <v>20</v>
      </c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  <c r="J13" s="6">
        <v>9</v>
      </c>
      <c r="K13" s="6">
        <v>10</v>
      </c>
      <c r="L13" s="109" t="s">
        <v>115</v>
      </c>
      <c r="M13" s="109" t="s">
        <v>47</v>
      </c>
    </row>
    <row r="14" spans="1:13">
      <c r="A14" s="2" t="s">
        <v>213</v>
      </c>
      <c r="B14" s="43">
        <f>B8</f>
        <v>10</v>
      </c>
      <c r="C14" s="43">
        <f>B14*(1+$B$9)</f>
        <v>10</v>
      </c>
      <c r="D14" s="43">
        <f t="shared" ref="D14:K14" si="0">C14*(1+$B$9)</f>
        <v>10</v>
      </c>
      <c r="E14" s="43">
        <f t="shared" si="0"/>
        <v>10</v>
      </c>
      <c r="F14" s="43">
        <f t="shared" si="0"/>
        <v>10</v>
      </c>
      <c r="G14" s="43">
        <f t="shared" si="0"/>
        <v>10</v>
      </c>
      <c r="H14" s="43">
        <f t="shared" si="0"/>
        <v>10</v>
      </c>
      <c r="I14" s="43">
        <f t="shared" si="0"/>
        <v>10</v>
      </c>
      <c r="J14" s="43">
        <f t="shared" si="0"/>
        <v>10</v>
      </c>
      <c r="K14" s="43">
        <f t="shared" si="0"/>
        <v>10</v>
      </c>
    </row>
    <row r="15" spans="1:13">
      <c r="A15" t="s">
        <v>138</v>
      </c>
      <c r="B15" s="4">
        <f>B14*$B$10</f>
        <v>40</v>
      </c>
      <c r="C15" s="4">
        <f t="shared" ref="C15:K15" si="1">C14*$B$10</f>
        <v>40</v>
      </c>
      <c r="D15" s="4">
        <f t="shared" si="1"/>
        <v>40</v>
      </c>
      <c r="E15" s="4">
        <f t="shared" si="1"/>
        <v>40</v>
      </c>
      <c r="F15" s="4">
        <f t="shared" si="1"/>
        <v>40</v>
      </c>
      <c r="G15" s="4">
        <f t="shared" si="1"/>
        <v>40</v>
      </c>
      <c r="H15" s="4">
        <f t="shared" si="1"/>
        <v>40</v>
      </c>
      <c r="I15" s="4">
        <f t="shared" si="1"/>
        <v>40</v>
      </c>
      <c r="J15" s="4">
        <f t="shared" si="1"/>
        <v>40</v>
      </c>
      <c r="K15" s="4">
        <f t="shared" si="1"/>
        <v>40</v>
      </c>
    </row>
    <row r="16" spans="1:13">
      <c r="A16" t="s">
        <v>139</v>
      </c>
      <c r="B16" s="13">
        <f>B15*$B$11</f>
        <v>40000</v>
      </c>
      <c r="C16" s="13">
        <f>C15*$B$11*(1+$B$6)^(C$13-1)</f>
        <v>43600</v>
      </c>
      <c r="D16" s="13">
        <f t="shared" ref="D16:K16" si="2">D15*$B$11*(1+$B$6)^(D$13-1)</f>
        <v>47524.000000000007</v>
      </c>
      <c r="E16" s="13">
        <f t="shared" si="2"/>
        <v>51801.160000000011</v>
      </c>
      <c r="F16" s="13">
        <f t="shared" si="2"/>
        <v>56463.264400000007</v>
      </c>
      <c r="G16" s="13">
        <f t="shared" si="2"/>
        <v>61544.958196000021</v>
      </c>
      <c r="H16" s="13">
        <f t="shared" si="2"/>
        <v>67084.004433640031</v>
      </c>
      <c r="I16" s="13">
        <f t="shared" si="2"/>
        <v>73121.564832667631</v>
      </c>
      <c r="J16" s="13">
        <f t="shared" si="2"/>
        <v>79702.505667607722</v>
      </c>
      <c r="K16" s="13">
        <f t="shared" si="2"/>
        <v>86875.731177692418</v>
      </c>
      <c r="L16" s="95">
        <f>SUM(B16:K16)</f>
        <v>607717.1887076078</v>
      </c>
      <c r="M16" s="96">
        <f>L16/$K$19</f>
        <v>0.43722169217495177</v>
      </c>
    </row>
    <row r="17" spans="1:13">
      <c r="A17" t="s">
        <v>214</v>
      </c>
      <c r="B17" s="13">
        <f>B2*B3</f>
        <v>250000</v>
      </c>
      <c r="C17" s="13">
        <f>$B$17*$B$4*(1+$B$6)^(C$13-1)</f>
        <v>40875</v>
      </c>
      <c r="D17" s="13">
        <f t="shared" ref="D17:K17" si="3">$B$17*$B$4*(1+$B$6)^(D$13-1)</f>
        <v>44553.750000000007</v>
      </c>
      <c r="E17" s="13">
        <f t="shared" si="3"/>
        <v>48563.587500000009</v>
      </c>
      <c r="F17" s="13">
        <f t="shared" si="3"/>
        <v>52934.310375000008</v>
      </c>
      <c r="G17" s="13">
        <f t="shared" si="3"/>
        <v>57698.398308750016</v>
      </c>
      <c r="H17" s="13">
        <f t="shared" si="3"/>
        <v>62891.254156537521</v>
      </c>
      <c r="I17" s="13">
        <f t="shared" si="3"/>
        <v>68551.467030625892</v>
      </c>
      <c r="J17" s="13">
        <f t="shared" si="3"/>
        <v>74721.099063382237</v>
      </c>
      <c r="K17" s="13">
        <f t="shared" si="3"/>
        <v>81445.997979086649</v>
      </c>
      <c r="L17" s="95">
        <f>SUM(B17:K17)</f>
        <v>782234.86441338225</v>
      </c>
      <c r="M17" s="96">
        <f>L17/$K$19</f>
        <v>0.56277830782504812</v>
      </c>
    </row>
    <row r="18" spans="1:13">
      <c r="A18" s="2" t="s">
        <v>67</v>
      </c>
      <c r="B18" s="14">
        <f>B16+B17</f>
        <v>290000</v>
      </c>
      <c r="C18" s="14">
        <f>(C16+C17)</f>
        <v>84475</v>
      </c>
      <c r="D18" s="14">
        <f t="shared" ref="D18:K18" si="4">(D16+D17)</f>
        <v>92077.750000000015</v>
      </c>
      <c r="E18" s="14">
        <f t="shared" si="4"/>
        <v>100364.74750000003</v>
      </c>
      <c r="F18" s="14">
        <f t="shared" si="4"/>
        <v>109397.57477500002</v>
      </c>
      <c r="G18" s="14">
        <f t="shared" si="4"/>
        <v>119243.35650475003</v>
      </c>
      <c r="H18" s="14">
        <f t="shared" si="4"/>
        <v>129975.25859017755</v>
      </c>
      <c r="I18" s="14">
        <f t="shared" si="4"/>
        <v>141673.03186329352</v>
      </c>
      <c r="J18" s="14">
        <f t="shared" si="4"/>
        <v>154423.60473098996</v>
      </c>
      <c r="K18" s="14">
        <f t="shared" si="4"/>
        <v>168321.72915677907</v>
      </c>
      <c r="L18" s="95">
        <f>SUM(B18:K18)</f>
        <v>1389952.0531209903</v>
      </c>
      <c r="M18" s="96">
        <f>L18/$K$19</f>
        <v>1</v>
      </c>
    </row>
    <row r="19" spans="1:13">
      <c r="A19" s="2" t="s">
        <v>123</v>
      </c>
      <c r="B19" s="14">
        <f>B18</f>
        <v>290000</v>
      </c>
      <c r="C19" s="14">
        <f>B19+C18</f>
        <v>374475</v>
      </c>
      <c r="D19" s="14">
        <f t="shared" ref="D19:K19" si="5">C19+D18</f>
        <v>466552.75</v>
      </c>
      <c r="E19" s="14">
        <f t="shared" si="5"/>
        <v>566917.49750000006</v>
      </c>
      <c r="F19" s="14">
        <f t="shared" si="5"/>
        <v>676315.07227500004</v>
      </c>
      <c r="G19" s="14">
        <f t="shared" si="5"/>
        <v>795558.42877975013</v>
      </c>
      <c r="H19" s="14">
        <f t="shared" si="5"/>
        <v>925533.68736992765</v>
      </c>
      <c r="I19" s="14">
        <f t="shared" si="5"/>
        <v>1067206.7192332211</v>
      </c>
      <c r="J19" s="14">
        <f t="shared" si="5"/>
        <v>1221630.3239642112</v>
      </c>
      <c r="K19" s="14">
        <f t="shared" si="5"/>
        <v>1389952.0531209903</v>
      </c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M19"/>
  <sheetViews>
    <sheetView zoomScaleNormal="100" workbookViewId="0">
      <selection activeCell="M18" sqref="M18"/>
    </sheetView>
  </sheetViews>
  <sheetFormatPr defaultRowHeight="15"/>
  <cols>
    <col min="1" max="1" width="41" customWidth="1"/>
    <col min="2" max="11" width="15.7109375" customWidth="1"/>
    <col min="12" max="12" width="14.42578125" customWidth="1"/>
    <col min="13" max="13" width="12.7109375" customWidth="1"/>
  </cols>
  <sheetData>
    <row r="2" spans="1:13">
      <c r="A2" t="s">
        <v>215</v>
      </c>
      <c r="B2" s="100">
        <v>2</v>
      </c>
      <c r="C2" s="57" t="s">
        <v>216</v>
      </c>
    </row>
    <row r="3" spans="1:13">
      <c r="A3" t="s">
        <v>217</v>
      </c>
      <c r="B3" s="87">
        <v>25000</v>
      </c>
      <c r="C3" s="57" t="s">
        <v>218</v>
      </c>
    </row>
    <row r="4" spans="1:13">
      <c r="A4" t="s">
        <v>129</v>
      </c>
      <c r="B4" s="98">
        <v>0.15</v>
      </c>
      <c r="C4" s="57" t="s">
        <v>130</v>
      </c>
    </row>
    <row r="5" spans="1:13">
      <c r="B5" s="8"/>
    </row>
    <row r="6" spans="1:13">
      <c r="A6" t="s">
        <v>0</v>
      </c>
      <c r="B6" s="59">
        <f>Summary!$B$2</f>
        <v>0.09</v>
      </c>
    </row>
    <row r="7" spans="1:13">
      <c r="B7" s="9"/>
    </row>
    <row r="8" spans="1:13">
      <c r="A8" s="2" t="s">
        <v>219</v>
      </c>
      <c r="B8" s="42">
        <f>'ILR-FR'!B8</f>
        <v>6716</v>
      </c>
    </row>
    <row r="9" spans="1:13">
      <c r="A9" t="s">
        <v>220</v>
      </c>
      <c r="B9" s="59">
        <f>'ILR-FR'!B9</f>
        <v>0.01</v>
      </c>
    </row>
    <row r="10" spans="1:13">
      <c r="A10" t="s">
        <v>221</v>
      </c>
      <c r="B10" s="100">
        <v>12</v>
      </c>
      <c r="C10" s="57" t="s">
        <v>222</v>
      </c>
    </row>
    <row r="11" spans="1:13">
      <c r="A11" t="s">
        <v>135</v>
      </c>
      <c r="B11" s="97">
        <v>10</v>
      </c>
      <c r="C11" s="57" t="s">
        <v>223</v>
      </c>
    </row>
    <row r="13" spans="1:13">
      <c r="A13" s="2" t="s">
        <v>20</v>
      </c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  <c r="J13" s="6">
        <v>9</v>
      </c>
      <c r="K13" s="6">
        <v>10</v>
      </c>
      <c r="L13" s="109" t="s">
        <v>115</v>
      </c>
      <c r="M13" s="109" t="s">
        <v>47</v>
      </c>
    </row>
    <row r="14" spans="1:13">
      <c r="A14" t="s">
        <v>137</v>
      </c>
      <c r="B14" s="4">
        <f>B8</f>
        <v>6716</v>
      </c>
      <c r="C14" s="4">
        <f t="shared" ref="C14:K14" si="0">B14*(1+$B$9)</f>
        <v>6783.16</v>
      </c>
      <c r="D14" s="4">
        <f t="shared" si="0"/>
        <v>6850.9916000000003</v>
      </c>
      <c r="E14" s="4">
        <f t="shared" si="0"/>
        <v>6919.5015160000003</v>
      </c>
      <c r="F14" s="4">
        <f t="shared" si="0"/>
        <v>6988.6965311600006</v>
      </c>
      <c r="G14" s="4">
        <f t="shared" si="0"/>
        <v>7058.5834964716005</v>
      </c>
      <c r="H14" s="4">
        <f t="shared" si="0"/>
        <v>7129.1693314363165</v>
      </c>
      <c r="I14" s="4">
        <f t="shared" si="0"/>
        <v>7200.4610247506798</v>
      </c>
      <c r="J14" s="4">
        <f t="shared" si="0"/>
        <v>7272.4656349981869</v>
      </c>
      <c r="K14" s="4">
        <f t="shared" si="0"/>
        <v>7345.190291348169</v>
      </c>
    </row>
    <row r="15" spans="1:13">
      <c r="A15" t="s">
        <v>224</v>
      </c>
      <c r="B15" s="4">
        <f>B14*$B$10</f>
        <v>80592</v>
      </c>
      <c r="C15" s="4">
        <f t="shared" ref="C15:K15" si="1">C14*$B$10</f>
        <v>81397.919999999998</v>
      </c>
      <c r="D15" s="4">
        <f t="shared" si="1"/>
        <v>82211.8992</v>
      </c>
      <c r="E15" s="4">
        <f t="shared" si="1"/>
        <v>83034.018192000003</v>
      </c>
      <c r="F15" s="4">
        <f t="shared" si="1"/>
        <v>83864.358373920011</v>
      </c>
      <c r="G15" s="4">
        <f t="shared" si="1"/>
        <v>84703.001957659202</v>
      </c>
      <c r="H15" s="4">
        <f t="shared" si="1"/>
        <v>85550.031977235805</v>
      </c>
      <c r="I15" s="4">
        <f t="shared" si="1"/>
        <v>86405.532297008162</v>
      </c>
      <c r="J15" s="4">
        <f t="shared" si="1"/>
        <v>87269.587619978236</v>
      </c>
      <c r="K15" s="4">
        <f t="shared" si="1"/>
        <v>88142.283496178032</v>
      </c>
    </row>
    <row r="16" spans="1:13">
      <c r="A16" t="s">
        <v>225</v>
      </c>
      <c r="B16" s="13">
        <f>B15*$B$11</f>
        <v>805920</v>
      </c>
      <c r="C16" s="13">
        <f>C15*$B$11*(1+$B$6)^(C$13-1)</f>
        <v>887237.32799999998</v>
      </c>
      <c r="D16" s="13">
        <f t="shared" ref="D16:K16" si="2">D15*$B$11*(1+$B$6)^(D$13-1)</f>
        <v>976759.57439520012</v>
      </c>
      <c r="E16" s="13">
        <f t="shared" si="2"/>
        <v>1075314.6154516758</v>
      </c>
      <c r="F16" s="13">
        <f t="shared" si="2"/>
        <v>1183813.8601507503</v>
      </c>
      <c r="G16" s="13">
        <f t="shared" si="2"/>
        <v>1303260.6786399609</v>
      </c>
      <c r="H16" s="13">
        <f t="shared" si="2"/>
        <v>1434759.6811147332</v>
      </c>
      <c r="I16" s="13">
        <f t="shared" si="2"/>
        <v>1579526.9329392095</v>
      </c>
      <c r="J16" s="13">
        <f t="shared" si="2"/>
        <v>1738901.2004727758</v>
      </c>
      <c r="K16" s="13">
        <f t="shared" si="2"/>
        <v>1914356.3316004795</v>
      </c>
      <c r="L16" s="95">
        <f>SUM(B16:K16)</f>
        <v>12899850.202764785</v>
      </c>
      <c r="M16" s="96">
        <f>L16/$K$19</f>
        <v>0.98801750827374846</v>
      </c>
    </row>
    <row r="17" spans="1:13">
      <c r="A17" t="s">
        <v>226</v>
      </c>
      <c r="B17" s="13">
        <f>B2*B3</f>
        <v>50000</v>
      </c>
      <c r="C17" s="13">
        <f>$B$2*$B$3*$B$4*(1+$B$6)^(C$13-1)</f>
        <v>8175.0000000000009</v>
      </c>
      <c r="D17" s="13">
        <f t="shared" ref="D17:K17" si="3">$B$2*$B$3*$B$4*(1+$B$6)^(D$13-1)</f>
        <v>8910.7500000000018</v>
      </c>
      <c r="E17" s="13">
        <f t="shared" si="3"/>
        <v>9712.7175000000007</v>
      </c>
      <c r="F17" s="13">
        <f t="shared" si="3"/>
        <v>10586.862075000003</v>
      </c>
      <c r="G17" s="13">
        <f t="shared" si="3"/>
        <v>11539.679661750004</v>
      </c>
      <c r="H17" s="13">
        <f t="shared" si="3"/>
        <v>12578.250831307505</v>
      </c>
      <c r="I17" s="13">
        <f t="shared" si="3"/>
        <v>13710.29340612518</v>
      </c>
      <c r="J17" s="13">
        <f t="shared" si="3"/>
        <v>14944.219812676447</v>
      </c>
      <c r="K17" s="13">
        <f t="shared" si="3"/>
        <v>16289.199595817328</v>
      </c>
      <c r="L17" s="95">
        <f>SUM(B17:K17)</f>
        <v>156446.97288267649</v>
      </c>
      <c r="M17" s="96">
        <f>L17/$K$19</f>
        <v>1.1982491726251496E-2</v>
      </c>
    </row>
    <row r="18" spans="1:13">
      <c r="A18" s="2" t="s">
        <v>67</v>
      </c>
      <c r="B18" s="14">
        <f>B16+B17</f>
        <v>855920</v>
      </c>
      <c r="C18" s="14">
        <f>(C16+C17)</f>
        <v>895412.32799999998</v>
      </c>
      <c r="D18" s="14">
        <f t="shared" ref="D18:K18" si="4">(D16+D17)</f>
        <v>985670.32439520012</v>
      </c>
      <c r="E18" s="14">
        <f t="shared" si="4"/>
        <v>1085027.3329516759</v>
      </c>
      <c r="F18" s="14">
        <f t="shared" si="4"/>
        <v>1194400.7222257503</v>
      </c>
      <c r="G18" s="14">
        <f t="shared" si="4"/>
        <v>1314800.358301711</v>
      </c>
      <c r="H18" s="14">
        <f t="shared" si="4"/>
        <v>1447337.9319460408</v>
      </c>
      <c r="I18" s="14">
        <f t="shared" si="4"/>
        <v>1593237.2263453347</v>
      </c>
      <c r="J18" s="14">
        <f t="shared" si="4"/>
        <v>1753845.4202854524</v>
      </c>
      <c r="K18" s="14">
        <f t="shared" si="4"/>
        <v>1930645.5311962969</v>
      </c>
      <c r="L18" s="95">
        <f>SUM(B18:K18)</f>
        <v>13056297.175647462</v>
      </c>
      <c r="M18" s="96">
        <f>L18/$K$19</f>
        <v>1</v>
      </c>
    </row>
    <row r="19" spans="1:13">
      <c r="A19" s="2" t="s">
        <v>123</v>
      </c>
      <c r="B19" s="14">
        <f>B18</f>
        <v>855920</v>
      </c>
      <c r="C19" s="14">
        <f>B19+C18</f>
        <v>1751332.328</v>
      </c>
      <c r="D19" s="14">
        <f t="shared" ref="D19:K19" si="5">C19+D18</f>
        <v>2737002.6523952</v>
      </c>
      <c r="E19" s="14">
        <f t="shared" si="5"/>
        <v>3822029.9853468761</v>
      </c>
      <c r="F19" s="14">
        <f t="shared" si="5"/>
        <v>5016430.7075726259</v>
      </c>
      <c r="G19" s="14">
        <f t="shared" si="5"/>
        <v>6331231.0658743372</v>
      </c>
      <c r="H19" s="14">
        <f t="shared" si="5"/>
        <v>7778568.9978203783</v>
      </c>
      <c r="I19" s="14">
        <f t="shared" si="5"/>
        <v>9371806.2241657134</v>
      </c>
      <c r="J19" s="14">
        <f t="shared" si="5"/>
        <v>11125651.644451166</v>
      </c>
      <c r="K19" s="14">
        <f t="shared" si="5"/>
        <v>13056297.175647462</v>
      </c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EB64-3711-44E0-B300-65DF31ED87BC}">
  <dimension ref="A1:M26"/>
  <sheetViews>
    <sheetView zoomScaleNormal="100" workbookViewId="0">
      <selection activeCell="L30" sqref="L30"/>
    </sheetView>
  </sheetViews>
  <sheetFormatPr defaultRowHeight="15"/>
  <cols>
    <col min="1" max="1" width="57.28515625" customWidth="1"/>
    <col min="2" max="11" width="15.7109375" customWidth="1"/>
    <col min="12" max="12" width="17.140625" customWidth="1"/>
    <col min="13" max="13" width="9.85546875" customWidth="1"/>
  </cols>
  <sheetData>
    <row r="1" spans="1:13">
      <c r="A1" s="57" t="s">
        <v>227</v>
      </c>
    </row>
    <row r="2" spans="1:13">
      <c r="A2" s="93" t="s">
        <v>228</v>
      </c>
    </row>
    <row r="3" spans="1:13">
      <c r="A3" s="93" t="s">
        <v>229</v>
      </c>
    </row>
    <row r="4" spans="1:13">
      <c r="A4" s="93" t="s">
        <v>230</v>
      </c>
    </row>
    <row r="5" spans="1:13">
      <c r="A5" s="93"/>
    </row>
    <row r="6" spans="1:13">
      <c r="A6" t="s">
        <v>0</v>
      </c>
      <c r="B6" s="46">
        <f>Summary!B2</f>
        <v>0.09</v>
      </c>
    </row>
    <row r="8" spans="1:13">
      <c r="A8" s="92" t="s">
        <v>231</v>
      </c>
      <c r="B8" s="97">
        <v>250</v>
      </c>
      <c r="C8" s="57" t="s">
        <v>232</v>
      </c>
    </row>
    <row r="9" spans="1:13">
      <c r="A9" s="92" t="s">
        <v>233</v>
      </c>
      <c r="B9" s="97">
        <v>10</v>
      </c>
      <c r="C9" s="57" t="s">
        <v>234</v>
      </c>
    </row>
    <row r="10" spans="1:13">
      <c r="A10" t="s">
        <v>235</v>
      </c>
      <c r="B10" s="97">
        <v>500000</v>
      </c>
      <c r="C10" s="57" t="s">
        <v>236</v>
      </c>
    </row>
    <row r="11" spans="1:13">
      <c r="A11" t="s">
        <v>237</v>
      </c>
      <c r="B11" s="97">
        <v>100000</v>
      </c>
      <c r="C11" s="57" t="s">
        <v>238</v>
      </c>
    </row>
    <row r="14" spans="1:13">
      <c r="A14" s="2" t="s">
        <v>20</v>
      </c>
      <c r="B14" s="6">
        <v>1</v>
      </c>
      <c r="C14" s="6">
        <v>2</v>
      </c>
      <c r="D14" s="6">
        <v>3</v>
      </c>
      <c r="E14" s="6">
        <v>4</v>
      </c>
      <c r="F14" s="6">
        <v>5</v>
      </c>
      <c r="G14" s="6">
        <v>6</v>
      </c>
      <c r="H14" s="6">
        <v>7</v>
      </c>
      <c r="I14" s="6">
        <v>8</v>
      </c>
      <c r="J14" s="6">
        <v>9</v>
      </c>
      <c r="K14" s="6">
        <v>10</v>
      </c>
      <c r="L14" s="19" t="s">
        <v>21</v>
      </c>
      <c r="M14" s="19" t="s">
        <v>47</v>
      </c>
    </row>
    <row r="15" spans="1:13">
      <c r="A15" t="s">
        <v>239</v>
      </c>
      <c r="B15" s="4">
        <f>'ILR-HWR'!B14</f>
        <v>20605</v>
      </c>
      <c r="C15" s="4">
        <f>'ILR-HWR'!C14-'ILR-HWR'!B14</f>
        <v>535.72999999999956</v>
      </c>
      <c r="D15" s="4">
        <f>'ILR-HWR'!D14-'ILR-HWR'!C14</f>
        <v>549.65898000000016</v>
      </c>
      <c r="E15" s="4">
        <f>'ILR-HWR'!E14-'ILR-HWR'!D14</f>
        <v>563.95011348000116</v>
      </c>
      <c r="F15" s="4">
        <f>'ILR-HWR'!F14-'ILR-HWR'!E14</f>
        <v>578.61281643047914</v>
      </c>
      <c r="G15" s="4">
        <f>'ILR-HWR'!G14-'ILR-HWR'!F14</f>
        <v>593.65674965767175</v>
      </c>
      <c r="H15" s="4">
        <f>'ILR-HWR'!H14-'ILR-HWR'!G14</f>
        <v>609.09182514877102</v>
      </c>
      <c r="I15" s="4">
        <f>'ILR-HWR'!I14-'ILR-HWR'!H14</f>
        <v>624.928212602641</v>
      </c>
      <c r="J15" s="4">
        <f>'ILR-HWR'!J14-'ILR-HWR'!I14</f>
        <v>641.17634613030896</v>
      </c>
      <c r="K15" s="4">
        <f>'ILR-HWR'!K14-'ILR-HWR'!J14</f>
        <v>657.84693112969762</v>
      </c>
    </row>
    <row r="16" spans="1:13">
      <c r="A16" t="s">
        <v>240</v>
      </c>
      <c r="B16" s="4">
        <v>0</v>
      </c>
      <c r="C16" s="4">
        <f>B16+B15</f>
        <v>20605</v>
      </c>
      <c r="D16" s="4">
        <f t="shared" ref="D16:K16" si="0">C16+C15</f>
        <v>21140.73</v>
      </c>
      <c r="E16" s="4">
        <f t="shared" si="0"/>
        <v>21690.38898</v>
      </c>
      <c r="F16" s="4">
        <f t="shared" si="0"/>
        <v>22254.339093480001</v>
      </c>
      <c r="G16" s="4">
        <f t="shared" si="0"/>
        <v>22832.95190991048</v>
      </c>
      <c r="H16" s="4">
        <f t="shared" si="0"/>
        <v>23426.608659568152</v>
      </c>
      <c r="I16" s="4">
        <f t="shared" si="0"/>
        <v>24035.700484716923</v>
      </c>
      <c r="J16" s="4">
        <f t="shared" si="0"/>
        <v>24660.628697319564</v>
      </c>
      <c r="K16" s="4">
        <f t="shared" si="0"/>
        <v>25301.805043449873</v>
      </c>
    </row>
    <row r="17" spans="1:13">
      <c r="B17" s="94" t="s">
        <v>241</v>
      </c>
      <c r="C17" s="4"/>
      <c r="D17" s="4"/>
      <c r="E17" s="4"/>
      <c r="F17" s="4"/>
      <c r="G17" s="4"/>
      <c r="H17" s="4"/>
      <c r="I17" s="4"/>
      <c r="J17" s="4"/>
      <c r="K17" s="4"/>
    </row>
    <row r="18" spans="1:13">
      <c r="A18" t="s">
        <v>242</v>
      </c>
      <c r="B18" s="100">
        <v>1</v>
      </c>
      <c r="C18" s="100">
        <v>1</v>
      </c>
      <c r="D18" s="100"/>
      <c r="E18" s="100"/>
      <c r="F18" s="100"/>
      <c r="G18" s="100"/>
      <c r="H18" s="100"/>
      <c r="I18" s="100"/>
      <c r="J18" s="100"/>
      <c r="K18" s="100"/>
    </row>
    <row r="19" spans="1:13">
      <c r="A19" t="s">
        <v>243</v>
      </c>
      <c r="B19" s="4">
        <f>B18</f>
        <v>1</v>
      </c>
      <c r="C19" s="4">
        <f>B19+C18</f>
        <v>2</v>
      </c>
      <c r="D19" s="4">
        <f t="shared" ref="D19:K19" si="1">C19+D18</f>
        <v>2</v>
      </c>
      <c r="E19" s="4">
        <f t="shared" si="1"/>
        <v>2</v>
      </c>
      <c r="F19" s="4">
        <f t="shared" si="1"/>
        <v>2</v>
      </c>
      <c r="G19" s="4">
        <f t="shared" si="1"/>
        <v>2</v>
      </c>
      <c r="H19" s="4">
        <f t="shared" si="1"/>
        <v>2</v>
      </c>
      <c r="I19" s="4">
        <f t="shared" si="1"/>
        <v>2</v>
      </c>
      <c r="J19" s="4">
        <f t="shared" si="1"/>
        <v>2</v>
      </c>
      <c r="K19" s="4">
        <f t="shared" si="1"/>
        <v>2</v>
      </c>
    </row>
    <row r="20" spans="1:13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3">
      <c r="A21" t="s">
        <v>244</v>
      </c>
      <c r="B21" s="13">
        <f>B15*$B$8</f>
        <v>5151250</v>
      </c>
      <c r="C21" s="13">
        <f>C15*$B$8*(1+$B$6)^(C$14-1)</f>
        <v>145986.42499999987</v>
      </c>
      <c r="D21" s="13">
        <f t="shared" ref="D21:K21" si="2">D15*$B$8*(1+$B$6)^(D$14-1)</f>
        <v>163262.4585345001</v>
      </c>
      <c r="E21" s="13">
        <f t="shared" si="2"/>
        <v>182582.93787747316</v>
      </c>
      <c r="F21" s="13">
        <f t="shared" si="2"/>
        <v>204189.80274589261</v>
      </c>
      <c r="G21" s="13">
        <f t="shared" si="2"/>
        <v>228353.62400284162</v>
      </c>
      <c r="H21" s="13">
        <f t="shared" si="2"/>
        <v>255376.99186733784</v>
      </c>
      <c r="I21" s="13">
        <f t="shared" si="2"/>
        <v>285598.30508491944</v>
      </c>
      <c r="J21" s="13">
        <f t="shared" si="2"/>
        <v>319396.00850866846</v>
      </c>
      <c r="K21" s="13">
        <f t="shared" si="2"/>
        <v>357193.33215558465</v>
      </c>
      <c r="L21" s="95">
        <f>SUM(B21:K21)</f>
        <v>7293189.8857772183</v>
      </c>
      <c r="M21" s="96">
        <f>L21/$K$26</f>
        <v>0.50049106998101633</v>
      </c>
    </row>
    <row r="22" spans="1:13">
      <c r="A22" t="s">
        <v>245</v>
      </c>
      <c r="B22" s="13">
        <f>B16*$B$9</f>
        <v>0</v>
      </c>
      <c r="C22" s="13">
        <f>C16*$B$9*(1+$B$6)^(C$14-1)</f>
        <v>224594.50000000003</v>
      </c>
      <c r="D22" s="13">
        <f t="shared" ref="D22:K22" si="3">D16*$B$9*(1+$B$6)^(D$14-1)</f>
        <v>251173.01313000001</v>
      </c>
      <c r="E22" s="13">
        <f t="shared" si="3"/>
        <v>280896.82750380423</v>
      </c>
      <c r="F22" s="13">
        <f t="shared" si="3"/>
        <v>314138.15807060443</v>
      </c>
      <c r="G22" s="13">
        <f t="shared" si="3"/>
        <v>351313.2676966798</v>
      </c>
      <c r="H22" s="13">
        <f t="shared" si="3"/>
        <v>392887.67979590496</v>
      </c>
      <c r="I22" s="13">
        <f t="shared" si="3"/>
        <v>439382.00782295223</v>
      </c>
      <c r="J22" s="13">
        <f t="shared" si="3"/>
        <v>491378.47462872055</v>
      </c>
      <c r="K22" s="13">
        <f t="shared" si="3"/>
        <v>549528.2033162833</v>
      </c>
      <c r="L22" s="95">
        <f t="shared" ref="L22:L25" si="4">SUM(B22:K22)</f>
        <v>3295292.1319649499</v>
      </c>
      <c r="M22" s="96">
        <f t="shared" ref="M22:M25" si="5">L22/$K$26</f>
        <v>0.2261375764044575</v>
      </c>
    </row>
    <row r="23" spans="1:13">
      <c r="A23" t="s">
        <v>246</v>
      </c>
      <c r="B23" s="13">
        <f>B18*$B$10</f>
        <v>500000</v>
      </c>
      <c r="C23" s="13">
        <f>C18*$B$10*(1+$B$6)^(C$14-1)</f>
        <v>545000</v>
      </c>
      <c r="D23" s="13">
        <f t="shared" ref="D23:K23" si="6">D18*$B$10*(1+$B$6)^(D$14-1)</f>
        <v>0</v>
      </c>
      <c r="E23" s="13">
        <f t="shared" si="6"/>
        <v>0</v>
      </c>
      <c r="F23" s="13">
        <f t="shared" si="6"/>
        <v>0</v>
      </c>
      <c r="G23" s="13">
        <f t="shared" si="6"/>
        <v>0</v>
      </c>
      <c r="H23" s="13">
        <f t="shared" si="6"/>
        <v>0</v>
      </c>
      <c r="I23" s="13">
        <f t="shared" si="6"/>
        <v>0</v>
      </c>
      <c r="J23" s="13">
        <f t="shared" si="6"/>
        <v>0</v>
      </c>
      <c r="K23" s="13">
        <f t="shared" si="6"/>
        <v>0</v>
      </c>
      <c r="L23" s="95">
        <f t="shared" si="4"/>
        <v>1045000</v>
      </c>
      <c r="M23" s="96">
        <f t="shared" si="5"/>
        <v>7.1712539550096446E-2</v>
      </c>
    </row>
    <row r="24" spans="1:13">
      <c r="A24" t="s">
        <v>247</v>
      </c>
      <c r="B24" s="13">
        <f>B19*$B$11</f>
        <v>100000</v>
      </c>
      <c r="C24" s="13">
        <f>C19*$B$11*(1+$B$6)^(C$14-1)</f>
        <v>218000.00000000003</v>
      </c>
      <c r="D24" s="13">
        <f t="shared" ref="D24:K24" si="7">D19*$B$11*(1+$B$6)^(D$14-1)</f>
        <v>237620.00000000003</v>
      </c>
      <c r="E24" s="13">
        <f t="shared" si="7"/>
        <v>259005.80000000005</v>
      </c>
      <c r="F24" s="13">
        <f t="shared" si="7"/>
        <v>282316.32200000004</v>
      </c>
      <c r="G24" s="13">
        <f t="shared" si="7"/>
        <v>307724.79098000011</v>
      </c>
      <c r="H24" s="13">
        <f t="shared" si="7"/>
        <v>335420.02216820011</v>
      </c>
      <c r="I24" s="13">
        <f t="shared" si="7"/>
        <v>365607.82416333811</v>
      </c>
      <c r="J24" s="13">
        <f t="shared" si="7"/>
        <v>398512.5283380386</v>
      </c>
      <c r="K24" s="13">
        <f t="shared" si="7"/>
        <v>434378.65588846209</v>
      </c>
      <c r="L24" s="95">
        <f t="shared" si="4"/>
        <v>2938585.9435380385</v>
      </c>
      <c r="M24" s="96">
        <f t="shared" si="5"/>
        <v>0.2016588140644297</v>
      </c>
    </row>
    <row r="25" spans="1:13">
      <c r="A25" s="2" t="s">
        <v>67</v>
      </c>
      <c r="B25" s="14">
        <f>SUM(B21:B24)</f>
        <v>5751250</v>
      </c>
      <c r="C25" s="14">
        <f>SUM(C21:C24)</f>
        <v>1133580.925</v>
      </c>
      <c r="D25" s="14">
        <f t="shared" ref="D25:K25" si="8">SUM(D21:D24)</f>
        <v>652055.47166450007</v>
      </c>
      <c r="E25" s="14">
        <f t="shared" si="8"/>
        <v>722485.56538127747</v>
      </c>
      <c r="F25" s="14">
        <f t="shared" si="8"/>
        <v>800644.28281649714</v>
      </c>
      <c r="G25" s="14">
        <f t="shared" si="8"/>
        <v>887391.68267952162</v>
      </c>
      <c r="H25" s="14">
        <f t="shared" si="8"/>
        <v>983684.69383144297</v>
      </c>
      <c r="I25" s="14">
        <f t="shared" si="8"/>
        <v>1090588.1370712097</v>
      </c>
      <c r="J25" s="14">
        <f t="shared" si="8"/>
        <v>1209287.0114754275</v>
      </c>
      <c r="K25" s="14">
        <f t="shared" si="8"/>
        <v>1341100.1913603302</v>
      </c>
      <c r="L25" s="95">
        <f t="shared" si="4"/>
        <v>14572067.961280206</v>
      </c>
      <c r="M25" s="96">
        <f t="shared" si="5"/>
        <v>1</v>
      </c>
    </row>
    <row r="26" spans="1:13">
      <c r="A26" s="2" t="s">
        <v>123</v>
      </c>
      <c r="B26" s="14">
        <f>B25</f>
        <v>5751250</v>
      </c>
      <c r="C26" s="14">
        <f>B26+C25</f>
        <v>6884830.9249999998</v>
      </c>
      <c r="D26" s="14">
        <f t="shared" ref="D26:K26" si="9">C26+D25</f>
        <v>7536886.3966645002</v>
      </c>
      <c r="E26" s="14">
        <f t="shared" si="9"/>
        <v>8259371.9620457776</v>
      </c>
      <c r="F26" s="14">
        <f t="shared" si="9"/>
        <v>9060016.2448622752</v>
      </c>
      <c r="G26" s="14">
        <f t="shared" si="9"/>
        <v>9947407.9275417961</v>
      </c>
      <c r="H26" s="14">
        <f t="shared" si="9"/>
        <v>10931092.62137324</v>
      </c>
      <c r="I26" s="14">
        <f t="shared" si="9"/>
        <v>12021680.758444449</v>
      </c>
      <c r="J26" s="14">
        <f t="shared" si="9"/>
        <v>13230967.769919876</v>
      </c>
      <c r="K26" s="14">
        <f t="shared" si="9"/>
        <v>14572067.961280206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1"/>
  <sheetViews>
    <sheetView zoomScaleNormal="100" workbookViewId="0">
      <selection activeCell="F7" sqref="F7"/>
    </sheetView>
  </sheetViews>
  <sheetFormatPr defaultRowHeight="15"/>
  <cols>
    <col min="1" max="1" width="31.28515625" customWidth="1"/>
    <col min="2" max="2" width="17.28515625" customWidth="1"/>
    <col min="3" max="3" width="17.5703125" customWidth="1"/>
    <col min="4" max="4" width="17.28515625" customWidth="1"/>
    <col min="5" max="5" width="15.7109375" customWidth="1"/>
    <col min="6" max="6" width="15.5703125" customWidth="1"/>
    <col min="7" max="7" width="14.7109375" bestFit="1" customWidth="1"/>
    <col min="8" max="9" width="15.85546875" customWidth="1"/>
    <col min="10" max="10" width="14.28515625" customWidth="1"/>
    <col min="11" max="11" width="15.140625" customWidth="1"/>
    <col min="15" max="15" width="10.5703125" bestFit="1" customWidth="1"/>
  </cols>
  <sheetData>
    <row r="1" spans="1:15">
      <c r="A1" t="s">
        <v>248</v>
      </c>
      <c r="B1" s="46">
        <f>Summary!B8</f>
        <v>2.5999999999999999E-2</v>
      </c>
    </row>
    <row r="2" spans="1:15">
      <c r="A2" s="2" t="s">
        <v>249</v>
      </c>
      <c r="B2" s="87">
        <v>1600</v>
      </c>
      <c r="C2" s="82" t="s">
        <v>250</v>
      </c>
    </row>
    <row r="4" spans="1:15">
      <c r="A4" s="2" t="s">
        <v>251</v>
      </c>
      <c r="B4" s="101" t="s">
        <v>252</v>
      </c>
      <c r="C4" s="101" t="s">
        <v>253</v>
      </c>
      <c r="D4" s="101" t="s">
        <v>254</v>
      </c>
      <c r="E4" s="101" t="s">
        <v>255</v>
      </c>
      <c r="F4" s="101" t="s">
        <v>256</v>
      </c>
      <c r="G4" s="81" t="s">
        <v>257</v>
      </c>
      <c r="H4" s="81" t="s">
        <v>258</v>
      </c>
      <c r="I4" s="80"/>
      <c r="J4" s="80"/>
    </row>
    <row r="5" spans="1:15">
      <c r="A5" t="s">
        <v>259</v>
      </c>
      <c r="B5" s="100">
        <v>368388</v>
      </c>
      <c r="C5" s="100">
        <v>151410</v>
      </c>
      <c r="D5" s="100">
        <v>888979</v>
      </c>
      <c r="E5" s="100">
        <v>424713</v>
      </c>
      <c r="F5" s="100">
        <v>328420</v>
      </c>
      <c r="G5" s="43">
        <f>SUM(B5:F5)</f>
        <v>2161910</v>
      </c>
      <c r="H5" s="2"/>
      <c r="I5" s="2" t="s">
        <v>260</v>
      </c>
    </row>
    <row r="6" spans="1:15">
      <c r="A6" t="s">
        <v>261</v>
      </c>
      <c r="B6" s="100">
        <v>4</v>
      </c>
      <c r="C6" s="100">
        <v>4</v>
      </c>
      <c r="D6" s="100">
        <v>4</v>
      </c>
      <c r="E6" s="100">
        <v>4</v>
      </c>
      <c r="F6" s="100">
        <v>4</v>
      </c>
      <c r="G6" s="2"/>
      <c r="H6" s="2"/>
    </row>
    <row r="7" spans="1:15">
      <c r="A7" t="s">
        <v>262</v>
      </c>
      <c r="B7" s="98">
        <v>0.01</v>
      </c>
      <c r="C7" s="98">
        <v>0.01</v>
      </c>
      <c r="D7" s="98">
        <v>0.01</v>
      </c>
      <c r="E7" s="98">
        <v>0.01</v>
      </c>
      <c r="F7" s="98">
        <v>0.01</v>
      </c>
      <c r="G7" s="2"/>
      <c r="H7" s="2"/>
    </row>
    <row r="8" spans="1:15">
      <c r="A8" t="s">
        <v>263</v>
      </c>
      <c r="G8" s="2"/>
      <c r="H8" s="2"/>
    </row>
    <row r="9" spans="1:15">
      <c r="A9">
        <v>1</v>
      </c>
      <c r="B9" s="4">
        <f t="shared" ref="B9:F18" si="0">IF($A9&gt;B$6,1,0)*B$7*B$5*(1+$B$1)^($A9-1)</f>
        <v>0</v>
      </c>
      <c r="C9" s="4">
        <f t="shared" si="0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3">
        <f t="shared" ref="G9:G19" si="1">SUM(B9:F9)</f>
        <v>0</v>
      </c>
      <c r="H9" s="83">
        <f>G9</f>
        <v>0</v>
      </c>
      <c r="I9" s="13"/>
      <c r="O9" s="2"/>
    </row>
    <row r="10" spans="1:15">
      <c r="A10">
        <v>2</v>
      </c>
      <c r="B10" s="4">
        <f t="shared" si="0"/>
        <v>0</v>
      </c>
      <c r="C10" s="4">
        <f t="shared" si="0"/>
        <v>0</v>
      </c>
      <c r="D10" s="4">
        <f t="shared" si="0"/>
        <v>0</v>
      </c>
      <c r="E10" s="4">
        <f t="shared" si="0"/>
        <v>0</v>
      </c>
      <c r="F10" s="4">
        <f t="shared" si="0"/>
        <v>0</v>
      </c>
      <c r="G10" s="43">
        <f t="shared" si="1"/>
        <v>0</v>
      </c>
      <c r="H10" s="83">
        <f>H9+G10</f>
        <v>0</v>
      </c>
      <c r="I10" s="13"/>
      <c r="O10" s="55"/>
    </row>
    <row r="11" spans="1:15">
      <c r="A11">
        <v>3</v>
      </c>
      <c r="B11" s="4">
        <f t="shared" si="0"/>
        <v>0</v>
      </c>
      <c r="C11" s="4">
        <f t="shared" si="0"/>
        <v>0</v>
      </c>
      <c r="D11" s="4">
        <f t="shared" si="0"/>
        <v>0</v>
      </c>
      <c r="E11" s="4">
        <f t="shared" si="0"/>
        <v>0</v>
      </c>
      <c r="F11" s="4">
        <f t="shared" si="0"/>
        <v>0</v>
      </c>
      <c r="G11" s="84">
        <f t="shared" si="1"/>
        <v>0</v>
      </c>
      <c r="H11" s="85">
        <f t="shared" ref="H11:H18" si="2">H10+G11</f>
        <v>0</v>
      </c>
      <c r="I11" s="13"/>
    </row>
    <row r="12" spans="1:15">
      <c r="A12">
        <v>4</v>
      </c>
      <c r="B12" s="4">
        <f t="shared" si="0"/>
        <v>0</v>
      </c>
      <c r="C12" s="4">
        <f t="shared" si="0"/>
        <v>0</v>
      </c>
      <c r="D12" s="4">
        <f t="shared" si="0"/>
        <v>0</v>
      </c>
      <c r="E12" s="4">
        <f t="shared" si="0"/>
        <v>0</v>
      </c>
      <c r="F12" s="4">
        <f t="shared" si="0"/>
        <v>0</v>
      </c>
      <c r="G12" s="84">
        <f t="shared" si="1"/>
        <v>0</v>
      </c>
      <c r="H12" s="85">
        <f t="shared" si="2"/>
        <v>0</v>
      </c>
      <c r="I12" s="13"/>
    </row>
    <row r="13" spans="1:15">
      <c r="A13">
        <v>5</v>
      </c>
      <c r="B13" s="4">
        <f>IF($A13&gt;B$6,1,0)*B$7*B$5*(1+$B$1)^($A13-1)</f>
        <v>4082.2060122242669</v>
      </c>
      <c r="C13" s="4">
        <f t="shared" si="0"/>
        <v>1677.8147287937616</v>
      </c>
      <c r="D13" s="4">
        <f t="shared" si="0"/>
        <v>9851.0141984568363</v>
      </c>
      <c r="E13" s="4">
        <f t="shared" si="0"/>
        <v>4706.3584103439989</v>
      </c>
      <c r="F13" s="4">
        <f t="shared" si="0"/>
        <v>3639.3099083973793</v>
      </c>
      <c r="G13" s="84">
        <f t="shared" si="1"/>
        <v>23956.703258216243</v>
      </c>
      <c r="H13" s="85">
        <f t="shared" si="2"/>
        <v>23956.703258216243</v>
      </c>
      <c r="I13" s="13"/>
    </row>
    <row r="14" spans="1:15">
      <c r="A14">
        <v>6</v>
      </c>
      <c r="B14" s="4">
        <f t="shared" si="0"/>
        <v>4188.3433685420978</v>
      </c>
      <c r="C14" s="4">
        <f t="shared" si="0"/>
        <v>1721.4379117423996</v>
      </c>
      <c r="D14" s="4">
        <f t="shared" si="0"/>
        <v>10107.140567616714</v>
      </c>
      <c r="E14" s="4">
        <f t="shared" si="0"/>
        <v>4828.7237290129433</v>
      </c>
      <c r="F14" s="4">
        <f t="shared" si="0"/>
        <v>3733.9319660157116</v>
      </c>
      <c r="G14" s="84">
        <f t="shared" si="1"/>
        <v>24579.577542929866</v>
      </c>
      <c r="H14" s="85">
        <f t="shared" si="2"/>
        <v>48536.280801146109</v>
      </c>
      <c r="I14" s="13"/>
    </row>
    <row r="15" spans="1:15">
      <c r="A15">
        <v>7</v>
      </c>
      <c r="B15" s="4">
        <f t="shared" si="0"/>
        <v>4297.2402961241924</v>
      </c>
      <c r="C15" s="4">
        <f t="shared" si="0"/>
        <v>1766.1952974477019</v>
      </c>
      <c r="D15" s="4">
        <f t="shared" si="0"/>
        <v>10369.926222374748</v>
      </c>
      <c r="E15" s="4">
        <f t="shared" si="0"/>
        <v>4954.2705459672788</v>
      </c>
      <c r="F15" s="4">
        <f t="shared" si="0"/>
        <v>3831.0141971321195</v>
      </c>
      <c r="G15" s="84">
        <f t="shared" si="1"/>
        <v>25218.646559046043</v>
      </c>
      <c r="H15" s="85">
        <f t="shared" si="2"/>
        <v>73754.927360192145</v>
      </c>
      <c r="I15" s="13"/>
    </row>
    <row r="16" spans="1:15">
      <c r="A16">
        <v>8</v>
      </c>
      <c r="B16" s="4">
        <f t="shared" si="0"/>
        <v>4408.968543823421</v>
      </c>
      <c r="C16" s="4">
        <f t="shared" si="0"/>
        <v>1812.1163751813422</v>
      </c>
      <c r="D16" s="4">
        <f t="shared" si="0"/>
        <v>10639.544304156492</v>
      </c>
      <c r="E16" s="4">
        <f t="shared" si="0"/>
        <v>5083.0815801624285</v>
      </c>
      <c r="F16" s="4">
        <f t="shared" si="0"/>
        <v>3930.6205662575549</v>
      </c>
      <c r="G16" s="84">
        <f t="shared" si="1"/>
        <v>25874.331369581236</v>
      </c>
      <c r="H16" s="85">
        <f t="shared" si="2"/>
        <v>99629.258729773384</v>
      </c>
      <c r="I16" s="13"/>
    </row>
    <row r="17" spans="1:11">
      <c r="A17">
        <v>9</v>
      </c>
      <c r="B17" s="4">
        <f t="shared" si="0"/>
        <v>4523.6017259628297</v>
      </c>
      <c r="C17" s="4">
        <f t="shared" si="0"/>
        <v>1859.2314009360568</v>
      </c>
      <c r="D17" s="4">
        <f t="shared" si="0"/>
        <v>10916.172456064558</v>
      </c>
      <c r="E17" s="4">
        <f t="shared" si="0"/>
        <v>5215.2417012466512</v>
      </c>
      <c r="F17" s="4">
        <f t="shared" si="0"/>
        <v>4032.8167009802505</v>
      </c>
      <c r="G17" s="84">
        <f t="shared" si="1"/>
        <v>26547.063985190343</v>
      </c>
      <c r="H17" s="85">
        <f t="shared" si="2"/>
        <v>126176.32271496372</v>
      </c>
      <c r="I17" s="13"/>
    </row>
    <row r="18" spans="1:11">
      <c r="A18">
        <v>10</v>
      </c>
      <c r="B18" s="4">
        <f t="shared" si="0"/>
        <v>4641.2153708378628</v>
      </c>
      <c r="C18" s="4">
        <f t="shared" si="0"/>
        <v>1907.5714173603942</v>
      </c>
      <c r="D18" s="4">
        <f t="shared" si="0"/>
        <v>11199.992939922236</v>
      </c>
      <c r="E18" s="4">
        <f t="shared" si="0"/>
        <v>5350.8379854790637</v>
      </c>
      <c r="F18" s="4">
        <f t="shared" si="0"/>
        <v>4137.6699352057376</v>
      </c>
      <c r="G18" s="84">
        <f t="shared" si="1"/>
        <v>27237.28764880529</v>
      </c>
      <c r="H18" s="85">
        <f t="shared" si="2"/>
        <v>153413.61036376902</v>
      </c>
      <c r="I18" s="13"/>
    </row>
    <row r="19" spans="1:11">
      <c r="A19" s="2" t="s">
        <v>264</v>
      </c>
      <c r="B19" s="79">
        <f>SUM(B9:B18)</f>
        <v>26141.575317514667</v>
      </c>
      <c r="C19" s="79">
        <f t="shared" ref="C19:F19" si="3">SUM(C9:C18)</f>
        <v>10744.367131461655</v>
      </c>
      <c r="D19" s="79">
        <f t="shared" si="3"/>
        <v>63083.790688591595</v>
      </c>
      <c r="E19" s="79">
        <f t="shared" si="3"/>
        <v>30138.513952212365</v>
      </c>
      <c r="F19" s="79">
        <f t="shared" si="3"/>
        <v>23305.363273988751</v>
      </c>
      <c r="G19" s="5">
        <f t="shared" si="1"/>
        <v>153413.61036376902</v>
      </c>
      <c r="H19" s="2"/>
    </row>
    <row r="21" spans="1:11">
      <c r="A21" s="3" t="s">
        <v>20</v>
      </c>
      <c r="B21" s="6">
        <v>1</v>
      </c>
      <c r="C21" s="6">
        <v>2</v>
      </c>
      <c r="D21" s="6">
        <v>3</v>
      </c>
      <c r="E21" s="6">
        <v>4</v>
      </c>
      <c r="F21" s="6">
        <v>5</v>
      </c>
      <c r="G21" s="6">
        <v>6</v>
      </c>
      <c r="H21" s="6">
        <v>7</v>
      </c>
      <c r="I21" s="6">
        <v>8</v>
      </c>
      <c r="J21" s="6">
        <v>9</v>
      </c>
      <c r="K21" s="6">
        <v>10</v>
      </c>
    </row>
    <row r="22" spans="1:11">
      <c r="A22" s="3" t="s">
        <v>257</v>
      </c>
      <c r="B22" s="78">
        <f>G9</f>
        <v>0</v>
      </c>
      <c r="C22" s="78">
        <f>G10</f>
        <v>0</v>
      </c>
      <c r="D22" s="78">
        <f>G11</f>
        <v>0</v>
      </c>
      <c r="E22" s="78">
        <f>G12</f>
        <v>0</v>
      </c>
      <c r="F22" s="78">
        <f>G13</f>
        <v>23956.703258216243</v>
      </c>
      <c r="G22" s="78">
        <f>G14</f>
        <v>24579.577542929866</v>
      </c>
      <c r="H22" s="78">
        <f>G15</f>
        <v>25218.646559046043</v>
      </c>
      <c r="I22" s="78">
        <f>G16</f>
        <v>25874.331369581236</v>
      </c>
      <c r="J22" s="78">
        <f>G17</f>
        <v>26547.063985190343</v>
      </c>
      <c r="K22" s="78">
        <f>G18</f>
        <v>27237.28764880529</v>
      </c>
    </row>
    <row r="23" spans="1:11">
      <c r="A23" s="3" t="s">
        <v>265</v>
      </c>
      <c r="B23" s="78">
        <f>B22</f>
        <v>0</v>
      </c>
      <c r="C23" s="78">
        <f>B23+C22</f>
        <v>0</v>
      </c>
      <c r="D23" s="78">
        <f t="shared" ref="D23:K23" si="4">C23+D22</f>
        <v>0</v>
      </c>
      <c r="E23" s="78">
        <f t="shared" si="4"/>
        <v>0</v>
      </c>
      <c r="F23" s="78">
        <f t="shared" si="4"/>
        <v>23956.703258216243</v>
      </c>
      <c r="G23" s="78">
        <f t="shared" si="4"/>
        <v>48536.280801146109</v>
      </c>
      <c r="H23" s="78">
        <f t="shared" si="4"/>
        <v>73754.927360192145</v>
      </c>
      <c r="I23" s="78">
        <f t="shared" si="4"/>
        <v>99629.258729773384</v>
      </c>
      <c r="J23" s="78">
        <f t="shared" si="4"/>
        <v>126176.32271496372</v>
      </c>
      <c r="K23" s="78">
        <f t="shared" si="4"/>
        <v>153413.61036376902</v>
      </c>
    </row>
    <row r="24" spans="1:11">
      <c r="A24" s="3" t="s">
        <v>266</v>
      </c>
      <c r="B24" s="13">
        <f>Summary!B24</f>
        <v>14593657.5</v>
      </c>
      <c r="C24" s="13">
        <f ca="1">Summary!C24</f>
        <v>9643339.4033000004</v>
      </c>
      <c r="D24" s="13">
        <f ca="1">Summary!D24</f>
        <v>10011936.145547917</v>
      </c>
      <c r="E24" s="13">
        <f ca="1">Summary!E24</f>
        <v>12173604.560606439</v>
      </c>
      <c r="F24" s="13">
        <f ca="1">Summary!F24</f>
        <v>10587200.754601739</v>
      </c>
      <c r="G24" s="13">
        <f ca="1">Summary!G24</f>
        <v>12416476.984780811</v>
      </c>
      <c r="H24" s="13">
        <f ca="1">Summary!H24</f>
        <v>12382782.210375253</v>
      </c>
      <c r="I24" s="13">
        <f ca="1">Summary!I24</f>
        <v>13625339.008751992</v>
      </c>
      <c r="J24" s="13">
        <f ca="1">Summary!J24</f>
        <v>14993264.99147298</v>
      </c>
      <c r="K24" s="13">
        <f ca="1">Summary!K24</f>
        <v>17107412.154394642</v>
      </c>
    </row>
    <row r="25" spans="1:11">
      <c r="A25" s="3" t="s">
        <v>267</v>
      </c>
      <c r="B25" s="13">
        <f>Summary!B25</f>
        <v>14593657.5</v>
      </c>
      <c r="C25" s="13">
        <f ca="1">Summary!C25</f>
        <v>24236996.903300002</v>
      </c>
      <c r="D25" s="13">
        <f ca="1">Summary!D25</f>
        <v>34248933.048847921</v>
      </c>
      <c r="E25" s="13">
        <f ca="1">Summary!E25</f>
        <v>46422537.609454364</v>
      </c>
      <c r="F25" s="13">
        <f ca="1">Summary!F25</f>
        <v>57009738.364056103</v>
      </c>
      <c r="G25" s="13">
        <f ca="1">Summary!G25</f>
        <v>69426215.348836914</v>
      </c>
      <c r="H25" s="13">
        <f ca="1">Summary!H25</f>
        <v>81808997.559212163</v>
      </c>
      <c r="I25" s="13">
        <f ca="1">Summary!I25</f>
        <v>95434336.567964152</v>
      </c>
      <c r="J25" s="13">
        <f ca="1">Summary!J25</f>
        <v>110427601.55943713</v>
      </c>
      <c r="K25" s="13">
        <f ca="1">Summary!K25</f>
        <v>127535013.71383177</v>
      </c>
    </row>
    <row r="26" spans="1:11">
      <c r="A26" s="3" t="s">
        <v>268</v>
      </c>
      <c r="B26" s="11">
        <f>IF(B22=0,B24,B24/B22)</f>
        <v>14593657.5</v>
      </c>
      <c r="C26" s="11">
        <f t="shared" ref="C26:K26" ca="1" si="5">IF(C22=0,C24,C24/C22)</f>
        <v>9643339.4033000004</v>
      </c>
      <c r="D26" s="11">
        <f t="shared" ca="1" si="5"/>
        <v>10011936.145547917</v>
      </c>
      <c r="E26" s="11">
        <f t="shared" ca="1" si="5"/>
        <v>12173604.560606439</v>
      </c>
      <c r="F26" s="11">
        <f t="shared" ca="1" si="5"/>
        <v>441.93062127489225</v>
      </c>
      <c r="G26" s="11">
        <f t="shared" ca="1" si="5"/>
        <v>505.15420629563744</v>
      </c>
      <c r="H26" s="11">
        <f t="shared" ca="1" si="5"/>
        <v>491.01692199788147</v>
      </c>
      <c r="I26" s="11">
        <f t="shared" ca="1" si="5"/>
        <v>526.59675777247003</v>
      </c>
      <c r="J26" s="11">
        <f t="shared" ca="1" si="5"/>
        <v>564.78053466994265</v>
      </c>
      <c r="K26" s="11">
        <f t="shared" ca="1" si="5"/>
        <v>628.08794968778852</v>
      </c>
    </row>
    <row r="27" spans="1:11">
      <c r="A27" s="3" t="s">
        <v>269</v>
      </c>
      <c r="B27" s="11">
        <f>IF(B23=0,B25,B25/B23)</f>
        <v>14593657.5</v>
      </c>
      <c r="C27" s="11">
        <f t="shared" ref="C27:K27" ca="1" si="6">IF(C23=0,C25,C25/C23)</f>
        <v>24236996.903300002</v>
      </c>
      <c r="D27" s="11">
        <f t="shared" ca="1" si="6"/>
        <v>34248933.048847921</v>
      </c>
      <c r="E27" s="11">
        <f t="shared" ca="1" si="6"/>
        <v>46422537.609454364</v>
      </c>
      <c r="F27" s="11">
        <f t="shared" ca="1" si="6"/>
        <v>2379.6988153828688</v>
      </c>
      <c r="G27" s="11">
        <f t="shared" ca="1" si="6"/>
        <v>1430.3983371382985</v>
      </c>
      <c r="H27" s="11">
        <f t="shared" ca="1" si="6"/>
        <v>1109.2004356493619</v>
      </c>
      <c r="I27" s="11">
        <f t="shared" ca="1" si="6"/>
        <v>957.89467657099397</v>
      </c>
      <c r="J27" s="11">
        <f t="shared" ca="1" si="6"/>
        <v>875.18481426104438</v>
      </c>
      <c r="K27" s="11">
        <f t="shared" ca="1" si="6"/>
        <v>831.31485799353243</v>
      </c>
    </row>
    <row r="28" spans="1:11">
      <c r="A28" s="3" t="s">
        <v>270</v>
      </c>
      <c r="B28" s="55">
        <f>$B$2/B26</f>
        <v>1.096366692174323E-4</v>
      </c>
      <c r="C28" s="55">
        <f t="shared" ref="C28:K28" ca="1" si="7">$B$2/C26</f>
        <v>1.65917628021313E-4</v>
      </c>
      <c r="D28" s="55">
        <f t="shared" ca="1" si="7"/>
        <v>1.5980924935398076E-4</v>
      </c>
      <c r="E28" s="55">
        <f t="shared" ca="1" si="7"/>
        <v>1.3143190186886558E-4</v>
      </c>
      <c r="F28" s="55">
        <f t="shared" ca="1" si="7"/>
        <v>3.6204777921572417</v>
      </c>
      <c r="G28" s="55">
        <f t="shared" ca="1" si="7"/>
        <v>3.1673496529564931</v>
      </c>
      <c r="H28" s="55">
        <f t="shared" ca="1" si="7"/>
        <v>3.2585435008834653</v>
      </c>
      <c r="I28" s="55">
        <f t="shared" ca="1" si="7"/>
        <v>3.0383779929980541</v>
      </c>
      <c r="J28" s="55">
        <f t="shared" ca="1" si="7"/>
        <v>2.8329588252099356</v>
      </c>
      <c r="K28" s="55">
        <f t="shared" ca="1" si="7"/>
        <v>2.5474139422597295</v>
      </c>
    </row>
    <row r="29" spans="1:11">
      <c r="A29" s="3" t="s">
        <v>271</v>
      </c>
      <c r="B29" s="55">
        <f>B26/$B$2</f>
        <v>9121.0359375000007</v>
      </c>
      <c r="C29" s="55">
        <f t="shared" ref="C29:K29" ca="1" si="8">C26/$B$2</f>
        <v>6027.0871270625003</v>
      </c>
      <c r="D29" s="55">
        <f t="shared" ca="1" si="8"/>
        <v>6257.4600909674482</v>
      </c>
      <c r="E29" s="55">
        <f t="shared" ca="1" si="8"/>
        <v>7608.5028503790245</v>
      </c>
      <c r="F29" s="55">
        <f t="shared" ca="1" si="8"/>
        <v>0.27620663829680764</v>
      </c>
      <c r="G29" s="55">
        <f t="shared" ca="1" si="8"/>
        <v>0.31572137893477342</v>
      </c>
      <c r="H29" s="55">
        <f t="shared" ca="1" si="8"/>
        <v>0.30688557624867591</v>
      </c>
      <c r="I29" s="55">
        <f t="shared" ca="1" si="8"/>
        <v>0.32912297360779375</v>
      </c>
      <c r="J29" s="55">
        <f t="shared" ca="1" si="8"/>
        <v>0.35298783416871415</v>
      </c>
      <c r="K29" s="55">
        <f t="shared" ca="1" si="8"/>
        <v>0.39255496855486782</v>
      </c>
    </row>
    <row r="30" spans="1:11">
      <c r="A30" s="3" t="s">
        <v>272</v>
      </c>
      <c r="B30" s="55">
        <f>$B$2/B27</f>
        <v>1.096366692174323E-4</v>
      </c>
      <c r="C30" s="55">
        <f t="shared" ref="C30:K30" ca="1" si="9">$B$2/C27</f>
        <v>6.6014779239508472E-5</v>
      </c>
      <c r="D30" s="55">
        <f t="shared" ca="1" si="9"/>
        <v>4.6716783781789123E-5</v>
      </c>
      <c r="E30" s="55">
        <f t="shared" ca="1" si="9"/>
        <v>3.4466017636962303E-5</v>
      </c>
      <c r="F30" s="55">
        <f t="shared" ca="1" si="9"/>
        <v>0.67235399272263652</v>
      </c>
      <c r="G30" s="55">
        <f t="shared" ca="1" si="9"/>
        <v>1.1185695330162451</v>
      </c>
      <c r="H30" s="55">
        <f t="shared" ca="1" si="9"/>
        <v>1.4424805008873876</v>
      </c>
      <c r="I30" s="55">
        <f t="shared" ca="1" si="9"/>
        <v>1.6703297754274729</v>
      </c>
      <c r="J30" s="55">
        <f t="shared" ca="1" si="9"/>
        <v>1.8281852860426375</v>
      </c>
      <c r="K30" s="55">
        <f t="shared" ca="1" si="9"/>
        <v>1.9246618589998159</v>
      </c>
    </row>
    <row r="31" spans="1:11">
      <c r="A31" s="3" t="s">
        <v>273</v>
      </c>
      <c r="B31" s="55">
        <f>B27/$B$2</f>
        <v>9121.0359375000007</v>
      </c>
      <c r="C31" s="55">
        <f t="shared" ref="C31:K31" ca="1" si="10">C27/$B$2</f>
        <v>15148.123064562502</v>
      </c>
      <c r="D31" s="55">
        <f t="shared" ca="1" si="10"/>
        <v>21405.583155529952</v>
      </c>
      <c r="E31" s="55">
        <f t="shared" ca="1" si="10"/>
        <v>29014.086005908975</v>
      </c>
      <c r="F31" s="55">
        <f t="shared" ca="1" si="10"/>
        <v>1.4873117596142931</v>
      </c>
      <c r="G31" s="55">
        <f t="shared" ca="1" si="10"/>
        <v>0.89399896071143659</v>
      </c>
      <c r="H31" s="55">
        <f t="shared" ca="1" si="10"/>
        <v>0.69325027228085123</v>
      </c>
      <c r="I31" s="55">
        <f t="shared" ca="1" si="10"/>
        <v>0.59868417285687126</v>
      </c>
      <c r="J31" s="55">
        <f t="shared" ca="1" si="10"/>
        <v>0.54699050891315271</v>
      </c>
      <c r="K31" s="55">
        <f t="shared" ca="1" si="10"/>
        <v>0.51957178624595779</v>
      </c>
    </row>
  </sheetData>
  <conditionalFormatting sqref="B26">
    <cfRule type="cellIs" dxfId="11" priority="13" operator="lessThan">
      <formula>$B$2</formula>
    </cfRule>
    <cfRule type="cellIs" dxfId="10" priority="14" operator="greaterThan">
      <formula>$B$2</formula>
    </cfRule>
  </conditionalFormatting>
  <conditionalFormatting sqref="B26:K27">
    <cfRule type="cellIs" dxfId="9" priority="9" operator="lessThan">
      <formula>$B$2</formula>
    </cfRule>
    <cfRule type="cellIs" dxfId="8" priority="10" operator="greaterThan">
      <formula>$B$2</formula>
    </cfRule>
  </conditionalFormatting>
  <conditionalFormatting sqref="B28:K28">
    <cfRule type="cellIs" dxfId="7" priority="7" operator="greaterThan">
      <formula>1</formula>
    </cfRule>
    <cfRule type="cellIs" dxfId="6" priority="8" operator="lessThan">
      <formula>1</formula>
    </cfRule>
  </conditionalFormatting>
  <conditionalFormatting sqref="B29:K29">
    <cfRule type="cellIs" dxfId="5" priority="3" operator="lessThan">
      <formula>1</formula>
    </cfRule>
    <cfRule type="cellIs" dxfId="4" priority="4" operator="greaterThan">
      <formula>1</formula>
    </cfRule>
  </conditionalFormatting>
  <conditionalFormatting sqref="B30:K30">
    <cfRule type="cellIs" dxfId="3" priority="5" operator="greaterThan">
      <formula>1</formula>
    </cfRule>
    <cfRule type="cellIs" dxfId="2" priority="6" operator="lessThan">
      <formula>1</formula>
    </cfRule>
  </conditionalFormatting>
  <conditionalFormatting sqref="B31:K31">
    <cfRule type="cellIs" dxfId="1" priority="1" operator="lessThan">
      <formula>1</formula>
    </cfRule>
    <cfRule type="cellIs" dxfId="0" priority="2" operator="greaterThan">
      <formula>1</formula>
    </cfRule>
  </conditionalFormatting>
  <pageMargins left="0.7" right="0.7" top="0.75" bottom="0.75" header="0.3" footer="0.3"/>
  <pageSetup orientation="portrait" horizontalDpi="4294967293" verticalDpi="4294967293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Derek Ritz</dc:creator>
  <cp:keywords/>
  <dc:description/>
  <cp:lastModifiedBy>Amanda Gray Bendor</cp:lastModifiedBy>
  <cp:revision/>
  <dcterms:created xsi:type="dcterms:W3CDTF">2016-09-12T15:00:51Z</dcterms:created>
  <dcterms:modified xsi:type="dcterms:W3CDTF">2024-10-24T18:54:54Z</dcterms:modified>
  <cp:category/>
  <cp:contentStatus/>
</cp:coreProperties>
</file>