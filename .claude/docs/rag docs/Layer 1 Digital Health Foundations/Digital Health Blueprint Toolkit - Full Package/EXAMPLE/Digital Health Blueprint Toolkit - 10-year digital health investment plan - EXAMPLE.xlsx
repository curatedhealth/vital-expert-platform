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e56b9ef4ca82ce/Documents/Healthcare/World Bank Group/2024-06 Buildable Digital Health Blueprint Toolkit/EXAMPLE/"/>
    </mc:Choice>
  </mc:AlternateContent>
  <xr:revisionPtr revIDLastSave="599" documentId="8_{29439B94-7F60-4F6D-8BA4-6B605E72DA94}" xr6:coauthVersionLast="47" xr6:coauthVersionMax="47" xr10:uidLastSave="{79337794-22D3-473E-BFFC-B25A3D2EB31D}"/>
  <bookViews>
    <workbookView xWindow="28680" yWindow="1680" windowWidth="29040" windowHeight="15720" tabRatio="659" xr2:uid="{00000000-000D-0000-FFFF-FFFF00000000}"/>
  </bookViews>
  <sheets>
    <sheet name="Summary" sheetId="9" r:id="rId1"/>
    <sheet name="Governance" sheetId="14" r:id="rId2"/>
    <sheet name="Datacentre" sheetId="1" r:id="rId3"/>
    <sheet name="CR" sheetId="2" r:id="rId4"/>
    <sheet name="ILR-FR" sheetId="4" r:id="rId5"/>
    <sheet name="ILR-HWR" sheetId="3" r:id="rId6"/>
    <sheet name="SHR" sheetId="6" r:id="rId7"/>
    <sheet name="TS" sheetId="7" r:id="rId8"/>
    <sheet name="HMIS" sheetId="8" r:id="rId9"/>
    <sheet name="HRH Capacity" sheetId="19" r:id="rId10"/>
    <sheet name="CUA" sheetId="12" r:id="rId11"/>
    <sheet name="Ratio CET to Cost-per-QALY" sheetId="1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23" i="19"/>
  <c r="B19" i="19"/>
  <c r="B24" i="19" s="1"/>
  <c r="B28" i="1"/>
  <c r="E28" i="1" s="1"/>
  <c r="E16" i="1"/>
  <c r="B1" i="12"/>
  <c r="B13" i="12" s="1"/>
  <c r="E23" i="2"/>
  <c r="D23" i="2"/>
  <c r="C23" i="2"/>
  <c r="K23" i="19" l="1"/>
  <c r="C23" i="19"/>
  <c r="J23" i="19"/>
  <c r="D23" i="19"/>
  <c r="I23" i="19"/>
  <c r="H23" i="19"/>
  <c r="G23" i="19"/>
  <c r="F23" i="19"/>
  <c r="E23" i="19"/>
  <c r="F18" i="12"/>
  <c r="F9" i="12"/>
  <c r="F10" i="12"/>
  <c r="F23" i="2"/>
  <c r="B25" i="2"/>
  <c r="B22" i="19"/>
  <c r="D17" i="12"/>
  <c r="E17" i="12"/>
  <c r="F17" i="12"/>
  <c r="B18" i="12"/>
  <c r="D10" i="12"/>
  <c r="B12" i="12"/>
  <c r="C15" i="12"/>
  <c r="F16" i="12"/>
  <c r="B9" i="12"/>
  <c r="E10" i="12"/>
  <c r="C12" i="12"/>
  <c r="F13" i="12"/>
  <c r="D15" i="12"/>
  <c r="B17" i="12"/>
  <c r="D12" i="12"/>
  <c r="B14" i="12"/>
  <c r="E15" i="12"/>
  <c r="C17" i="12"/>
  <c r="D9" i="12"/>
  <c r="B11" i="12"/>
  <c r="E12" i="12"/>
  <c r="C14" i="12"/>
  <c r="F15" i="12"/>
  <c r="E9" i="12"/>
  <c r="C11" i="12"/>
  <c r="F12" i="12"/>
  <c r="D14" i="12"/>
  <c r="B16" i="12"/>
  <c r="D11" i="12"/>
  <c r="E14" i="12"/>
  <c r="C16" i="12"/>
  <c r="B10" i="12"/>
  <c r="E11" i="12"/>
  <c r="C13" i="12"/>
  <c r="F14" i="12"/>
  <c r="D16" i="12"/>
  <c r="C10" i="12"/>
  <c r="F11" i="12"/>
  <c r="D13" i="12"/>
  <c r="B15" i="12"/>
  <c r="E16" i="12"/>
  <c r="C18" i="12"/>
  <c r="D18" i="12"/>
  <c r="E18" i="12"/>
  <c r="E13" i="12"/>
  <c r="C9" i="12"/>
  <c r="G9" i="12" l="1"/>
  <c r="H9" i="12" s="1"/>
  <c r="G10" i="12"/>
  <c r="H10" i="12" l="1"/>
  <c r="C19" i="19"/>
  <c r="C24" i="19" s="1"/>
  <c r="B2" i="14"/>
  <c r="D19" i="19" l="1"/>
  <c r="D24" i="19" s="1"/>
  <c r="G5" i="12"/>
  <c r="F19" i="12"/>
  <c r="E32" i="14"/>
  <c r="E31" i="14"/>
  <c r="E30" i="14"/>
  <c r="E26" i="14"/>
  <c r="E25" i="14"/>
  <c r="E24" i="14"/>
  <c r="E8" i="14"/>
  <c r="E20" i="14"/>
  <c r="E14" i="14"/>
  <c r="E19" i="14"/>
  <c r="E18" i="14"/>
  <c r="E13" i="14"/>
  <c r="E12" i="14"/>
  <c r="E7" i="14"/>
  <c r="E6" i="14"/>
  <c r="E19" i="19" l="1"/>
  <c r="E24" i="19" s="1"/>
  <c r="E33" i="14"/>
  <c r="E9" i="14"/>
  <c r="I9" i="14" s="1"/>
  <c r="E15" i="14"/>
  <c r="E21" i="14"/>
  <c r="E27" i="14"/>
  <c r="F19" i="19" l="1"/>
  <c r="F24" i="19" s="1"/>
  <c r="N9" i="14"/>
  <c r="G9" i="14"/>
  <c r="H9" i="14"/>
  <c r="L9" i="14"/>
  <c r="M9" i="14"/>
  <c r="F9" i="14"/>
  <c r="K9" i="14"/>
  <c r="P9" i="14"/>
  <c r="J9" i="14"/>
  <c r="O9" i="14"/>
  <c r="C22" i="12"/>
  <c r="B22" i="12"/>
  <c r="B23" i="12" s="1"/>
  <c r="K33" i="14"/>
  <c r="P33" i="14"/>
  <c r="J33" i="14"/>
  <c r="O33" i="14"/>
  <c r="I33" i="14"/>
  <c r="H33" i="14"/>
  <c r="M33" i="14"/>
  <c r="N33" i="14"/>
  <c r="L33" i="14"/>
  <c r="G33" i="14"/>
  <c r="F33" i="14"/>
  <c r="P27" i="14"/>
  <c r="L27" i="14"/>
  <c r="H27" i="14"/>
  <c r="O27" i="14"/>
  <c r="K27" i="14"/>
  <c r="N27" i="14"/>
  <c r="J27" i="14"/>
  <c r="G27" i="14"/>
  <c r="M27" i="14"/>
  <c r="I27" i="14"/>
  <c r="N21" i="14"/>
  <c r="J21" i="14"/>
  <c r="G21" i="14"/>
  <c r="M21" i="14"/>
  <c r="I21" i="14"/>
  <c r="P21" i="14"/>
  <c r="L21" i="14"/>
  <c r="H21" i="14"/>
  <c r="O21" i="14"/>
  <c r="K21" i="14"/>
  <c r="F15" i="14"/>
  <c r="P15" i="14"/>
  <c r="L15" i="14"/>
  <c r="H15" i="14"/>
  <c r="O15" i="14"/>
  <c r="K15" i="14"/>
  <c r="N15" i="14"/>
  <c r="J15" i="14"/>
  <c r="G15" i="14"/>
  <c r="M15" i="14"/>
  <c r="I15" i="14"/>
  <c r="F21" i="14"/>
  <c r="F27" i="14"/>
  <c r="G19" i="19" l="1"/>
  <c r="F38" i="14"/>
  <c r="B12" i="9" s="1"/>
  <c r="Q9" i="14"/>
  <c r="C23" i="12"/>
  <c r="G11" i="12"/>
  <c r="D22" i="12" s="1"/>
  <c r="Q15" i="14"/>
  <c r="Q21" i="14"/>
  <c r="Q27" i="14"/>
  <c r="Q33" i="14"/>
  <c r="N35" i="14"/>
  <c r="I15" i="9" s="1"/>
  <c r="M35" i="14"/>
  <c r="H15" i="9" s="1"/>
  <c r="I35" i="14"/>
  <c r="D15" i="9" s="1"/>
  <c r="H35" i="14"/>
  <c r="C15" i="9" s="1"/>
  <c r="J35" i="14"/>
  <c r="E15" i="9" s="1"/>
  <c r="L35" i="14"/>
  <c r="G15" i="9" s="1"/>
  <c r="P35" i="14"/>
  <c r="K15" i="9" s="1"/>
  <c r="G35" i="14"/>
  <c r="O35" i="14"/>
  <c r="J15" i="9" s="1"/>
  <c r="K35" i="14"/>
  <c r="F15" i="9" s="1"/>
  <c r="H19" i="19" l="1"/>
  <c r="H24" i="19" s="1"/>
  <c r="G24" i="19"/>
  <c r="D23" i="12"/>
  <c r="H11" i="12"/>
  <c r="G12" i="12"/>
  <c r="B15" i="9"/>
  <c r="L15" i="9" s="1"/>
  <c r="G36" i="14"/>
  <c r="H36" i="14" s="1"/>
  <c r="I36" i="14" s="1"/>
  <c r="J36" i="14" s="1"/>
  <c r="K36" i="14" s="1"/>
  <c r="L36" i="14" s="1"/>
  <c r="M36" i="14" s="1"/>
  <c r="N36" i="14" s="1"/>
  <c r="O36" i="14" s="1"/>
  <c r="P36" i="14" s="1"/>
  <c r="Q35" i="14"/>
  <c r="I19" i="19" l="1"/>
  <c r="I24" i="19" s="1"/>
  <c r="H12" i="12"/>
  <c r="E22" i="12"/>
  <c r="E23" i="12" s="1"/>
  <c r="G13" i="12"/>
  <c r="F22" i="12" s="1"/>
  <c r="R15" i="14"/>
  <c r="R33" i="14"/>
  <c r="R27" i="14"/>
  <c r="R21" i="14"/>
  <c r="R9" i="14"/>
  <c r="L23" i="19" l="1"/>
  <c r="J19" i="19"/>
  <c r="J24" i="19" s="1"/>
  <c r="F23" i="12"/>
  <c r="H13" i="12"/>
  <c r="G14" i="12"/>
  <c r="R35" i="14"/>
  <c r="K19" i="19" l="1"/>
  <c r="K24" i="19" s="1"/>
  <c r="H14" i="12"/>
  <c r="G22" i="12"/>
  <c r="G23" i="12" s="1"/>
  <c r="G15" i="12"/>
  <c r="H22" i="12" s="1"/>
  <c r="L24" i="19" l="1"/>
  <c r="H15" i="12"/>
  <c r="H23" i="12"/>
  <c r="G16" i="12"/>
  <c r="C19" i="12" l="1"/>
  <c r="E19" i="12"/>
  <c r="H16" i="12"/>
  <c r="D19" i="12"/>
  <c r="I22" i="12"/>
  <c r="I23" i="12" s="1"/>
  <c r="G17" i="12"/>
  <c r="J22" i="12" s="1"/>
  <c r="J23" i="12" l="1"/>
  <c r="H17" i="12"/>
  <c r="G18" i="12"/>
  <c r="K22" i="12" s="1"/>
  <c r="B19" i="12"/>
  <c r="G19" i="12" s="1"/>
  <c r="K23" i="12" l="1"/>
  <c r="H18" i="12"/>
  <c r="F10" i="6"/>
  <c r="E10" i="6"/>
  <c r="D10" i="6"/>
  <c r="C10" i="6"/>
  <c r="B5" i="9"/>
  <c r="F4" i="9" l="1"/>
  <c r="B8" i="4"/>
  <c r="C16" i="6"/>
  <c r="C12" i="6"/>
  <c r="D16" i="6"/>
  <c r="D12" i="6"/>
  <c r="E16" i="6"/>
  <c r="E12" i="6"/>
  <c r="F16" i="6"/>
  <c r="F12" i="6"/>
  <c r="C4" i="9"/>
  <c r="D4" i="9"/>
  <c r="E4" i="9"/>
  <c r="K32" i="9"/>
  <c r="J32" i="9"/>
  <c r="I32" i="9"/>
  <c r="H32" i="9"/>
  <c r="G32" i="9"/>
  <c r="F32" i="9"/>
  <c r="E32" i="9"/>
  <c r="D32" i="9"/>
  <c r="C32" i="9"/>
  <c r="B32" i="9"/>
  <c r="L32" i="9" l="1"/>
  <c r="E9" i="6"/>
  <c r="D9" i="6"/>
  <c r="C9" i="6"/>
  <c r="B9" i="3"/>
  <c r="B8" i="3"/>
  <c r="B3" i="2"/>
  <c r="B2" i="2"/>
  <c r="B24" i="2" s="1"/>
  <c r="B9" i="4"/>
  <c r="B9" i="8" s="1"/>
  <c r="B6" i="8"/>
  <c r="B6" i="7"/>
  <c r="B6" i="6"/>
  <c r="B6" i="3"/>
  <c r="B6" i="4"/>
  <c r="B14" i="2"/>
  <c r="B6" i="1"/>
  <c r="B17" i="8"/>
  <c r="B8" i="7"/>
  <c r="B14" i="7" s="1"/>
  <c r="B15" i="7" s="1"/>
  <c r="B16" i="7" s="1"/>
  <c r="B17" i="7"/>
  <c r="J17" i="4" l="1"/>
  <c r="K17" i="4"/>
  <c r="I17" i="4"/>
  <c r="D17" i="4"/>
  <c r="H17" i="4"/>
  <c r="G17" i="4"/>
  <c r="F17" i="4"/>
  <c r="C17" i="4"/>
  <c r="L17" i="4" s="1"/>
  <c r="E17" i="4"/>
  <c r="C48" i="6"/>
  <c r="J48" i="6"/>
  <c r="J17" i="7"/>
  <c r="C17" i="7"/>
  <c r="I17" i="7"/>
  <c r="H17" i="7"/>
  <c r="G17" i="7"/>
  <c r="F17" i="7"/>
  <c r="K17" i="7"/>
  <c r="E17" i="7"/>
  <c r="D17" i="7"/>
  <c r="K17" i="8"/>
  <c r="C17" i="8"/>
  <c r="G17" i="8"/>
  <c r="J17" i="8"/>
  <c r="D17" i="8"/>
  <c r="I17" i="8"/>
  <c r="H17" i="8"/>
  <c r="F17" i="8"/>
  <c r="E17" i="8"/>
  <c r="F17" i="3"/>
  <c r="E17" i="3"/>
  <c r="J17" i="3"/>
  <c r="D17" i="3"/>
  <c r="H17" i="3"/>
  <c r="K17" i="3"/>
  <c r="C17" i="3"/>
  <c r="G17" i="3"/>
  <c r="I17" i="3"/>
  <c r="C25" i="2"/>
  <c r="E25" i="2"/>
  <c r="K25" i="2"/>
  <c r="J25" i="2"/>
  <c r="I25" i="2"/>
  <c r="D25" i="2"/>
  <c r="H25" i="2"/>
  <c r="G25" i="2"/>
  <c r="F25" i="2"/>
  <c r="J20" i="2"/>
  <c r="J21" i="2" s="1"/>
  <c r="B20" i="2"/>
  <c r="B21" i="2" s="1"/>
  <c r="B22" i="2" s="1"/>
  <c r="B26" i="2" s="1"/>
  <c r="B27" i="2" s="1"/>
  <c r="I20" i="2"/>
  <c r="I21" i="2" s="1"/>
  <c r="H20" i="2"/>
  <c r="H21" i="2" s="1"/>
  <c r="E20" i="2"/>
  <c r="E21" i="2" s="1"/>
  <c r="G20" i="2"/>
  <c r="G21" i="2" s="1"/>
  <c r="F20" i="2"/>
  <c r="F21" i="2" s="1"/>
  <c r="D20" i="2"/>
  <c r="D21" i="2" s="1"/>
  <c r="K20" i="2"/>
  <c r="K21" i="2" s="1"/>
  <c r="C20" i="2"/>
  <c r="C21" i="2" s="1"/>
  <c r="B18" i="7"/>
  <c r="C14" i="7"/>
  <c r="B48" i="6"/>
  <c r="G48" i="6" s="1"/>
  <c r="F9" i="6"/>
  <c r="B17" i="4"/>
  <c r="B17" i="3"/>
  <c r="B14" i="3"/>
  <c r="L17" i="8" l="1"/>
  <c r="I48" i="6"/>
  <c r="K48" i="6"/>
  <c r="E48" i="6"/>
  <c r="H48" i="6"/>
  <c r="F48" i="6"/>
  <c r="D48" i="6"/>
  <c r="K22" i="2"/>
  <c r="K24" i="2" s="1"/>
  <c r="C22" i="2"/>
  <c r="C24" i="2" s="1"/>
  <c r="C26" i="2" s="1"/>
  <c r="C27" i="2" s="1"/>
  <c r="L17" i="3"/>
  <c r="L17" i="7"/>
  <c r="E22" i="2"/>
  <c r="L25" i="2"/>
  <c r="F22" i="2"/>
  <c r="D22" i="2"/>
  <c r="G22" i="2"/>
  <c r="G24" i="2" s="1"/>
  <c r="H22" i="2"/>
  <c r="H24" i="2" s="1"/>
  <c r="I22" i="2"/>
  <c r="I24" i="2" s="1"/>
  <c r="J22" i="2"/>
  <c r="J24" i="2" s="1"/>
  <c r="C14" i="3"/>
  <c r="D14" i="3" s="1"/>
  <c r="D15" i="19" s="1"/>
  <c r="D21" i="19" s="1"/>
  <c r="B15" i="19"/>
  <c r="B19" i="7"/>
  <c r="B21" i="9"/>
  <c r="C15" i="7"/>
  <c r="C16" i="7" s="1"/>
  <c r="D14" i="7"/>
  <c r="B15" i="3"/>
  <c r="B16" i="3" s="1"/>
  <c r="B18" i="3" s="1"/>
  <c r="D30" i="1"/>
  <c r="C30" i="1"/>
  <c r="E29" i="1"/>
  <c r="B27" i="1"/>
  <c r="E27" i="1" s="1"/>
  <c r="B26" i="1"/>
  <c r="E26" i="1" s="1"/>
  <c r="B25" i="1"/>
  <c r="E25" i="1" s="1"/>
  <c r="B24" i="1"/>
  <c r="E24" i="1" s="1"/>
  <c r="B23" i="1"/>
  <c r="E23" i="1" s="1"/>
  <c r="B22" i="1"/>
  <c r="E22" i="1" s="1"/>
  <c r="E17" i="1"/>
  <c r="E15" i="1"/>
  <c r="E14" i="1"/>
  <c r="E13" i="1"/>
  <c r="E12" i="1"/>
  <c r="E11" i="1"/>
  <c r="E10" i="1"/>
  <c r="D18" i="1"/>
  <c r="C18" i="1"/>
  <c r="B18" i="1"/>
  <c r="M48" i="6" l="1"/>
  <c r="C18" i="7"/>
  <c r="D24" i="2"/>
  <c r="D26" i="2" s="1"/>
  <c r="D27" i="2" s="1"/>
  <c r="F24" i="2"/>
  <c r="F26" i="2" s="1"/>
  <c r="F27" i="2" s="1"/>
  <c r="E24" i="2"/>
  <c r="E26" i="2" s="1"/>
  <c r="E27" i="2" s="1"/>
  <c r="B21" i="19"/>
  <c r="C16" i="19"/>
  <c r="C22" i="19" s="1"/>
  <c r="C15" i="3"/>
  <c r="C15" i="19"/>
  <c r="C21" i="19" s="1"/>
  <c r="L48" i="6"/>
  <c r="B19" i="3"/>
  <c r="B19" i="9"/>
  <c r="C19" i="7"/>
  <c r="C21" i="9"/>
  <c r="E14" i="7"/>
  <c r="D15" i="7"/>
  <c r="D16" i="7" s="1"/>
  <c r="D18" i="7" s="1"/>
  <c r="E14" i="3"/>
  <c r="E15" i="19" s="1"/>
  <c r="E21" i="19" s="1"/>
  <c r="D15" i="3"/>
  <c r="G23" i="2"/>
  <c r="G26" i="2" s="1"/>
  <c r="G27" i="2" s="1"/>
  <c r="I23" i="2"/>
  <c r="I26" i="2" s="1"/>
  <c r="I27" i="2" s="1"/>
  <c r="H23" i="2"/>
  <c r="H26" i="2" s="1"/>
  <c r="H27" i="2" s="1"/>
  <c r="E30" i="1"/>
  <c r="B30" i="1"/>
  <c r="E18" i="1"/>
  <c r="C25" i="19" l="1"/>
  <c r="C16" i="3"/>
  <c r="D16" i="3"/>
  <c r="D18" i="3" s="1"/>
  <c r="D19" i="9" s="1"/>
  <c r="K23" i="2"/>
  <c r="K26" i="2" s="1"/>
  <c r="K27" i="2" s="1"/>
  <c r="J23" i="2"/>
  <c r="J26" i="2" s="1"/>
  <c r="J27" i="2" s="1"/>
  <c r="L27" i="2" s="1"/>
  <c r="B25" i="19"/>
  <c r="D16" i="19"/>
  <c r="D22" i="19" s="1"/>
  <c r="D25" i="19" s="1"/>
  <c r="F17" i="9"/>
  <c r="E17" i="9"/>
  <c r="B17" i="9"/>
  <c r="G17" i="9"/>
  <c r="C17" i="9"/>
  <c r="H17" i="9"/>
  <c r="D17" i="9"/>
  <c r="I17" i="9"/>
  <c r="B33" i="1"/>
  <c r="D19" i="7"/>
  <c r="D21" i="9"/>
  <c r="E15" i="7"/>
  <c r="E16" i="7" s="1"/>
  <c r="E18" i="7" s="1"/>
  <c r="F14" i="7"/>
  <c r="I33" i="1"/>
  <c r="I16" i="9" s="1"/>
  <c r="E33" i="1"/>
  <c r="E16" i="9" s="1"/>
  <c r="H33" i="1"/>
  <c r="H16" i="9" s="1"/>
  <c r="D33" i="1"/>
  <c r="D16" i="9" s="1"/>
  <c r="K33" i="1"/>
  <c r="K16" i="9" s="1"/>
  <c r="G33" i="1"/>
  <c r="G16" i="9" s="1"/>
  <c r="C33" i="1"/>
  <c r="J33" i="1"/>
  <c r="J16" i="9" s="1"/>
  <c r="F33" i="1"/>
  <c r="F16" i="9" s="1"/>
  <c r="F14" i="3"/>
  <c r="F15" i="19" s="1"/>
  <c r="F21" i="19" s="1"/>
  <c r="E15" i="3"/>
  <c r="B26" i="19" l="1"/>
  <c r="E16" i="3"/>
  <c r="E18" i="3" s="1"/>
  <c r="E19" i="9" s="1"/>
  <c r="C18" i="3"/>
  <c r="L26" i="2"/>
  <c r="J17" i="9"/>
  <c r="K17" i="9"/>
  <c r="B23" i="9"/>
  <c r="C26" i="19"/>
  <c r="E16" i="19"/>
  <c r="E22" i="19" s="1"/>
  <c r="E25" i="19" s="1"/>
  <c r="B28" i="2"/>
  <c r="C28" i="2" s="1"/>
  <c r="D28" i="2" s="1"/>
  <c r="E28" i="2" s="1"/>
  <c r="F28" i="2" s="1"/>
  <c r="G28" i="2" s="1"/>
  <c r="H28" i="2" s="1"/>
  <c r="I28" i="2" s="1"/>
  <c r="B34" i="1"/>
  <c r="C34" i="1" s="1"/>
  <c r="D34" i="1" s="1"/>
  <c r="E34" i="1" s="1"/>
  <c r="F34" i="1" s="1"/>
  <c r="G34" i="1" s="1"/>
  <c r="H34" i="1" s="1"/>
  <c r="I34" i="1" s="1"/>
  <c r="J34" i="1" s="1"/>
  <c r="K34" i="1" s="1"/>
  <c r="B16" i="9"/>
  <c r="E19" i="7"/>
  <c r="E21" i="9"/>
  <c r="C16" i="9"/>
  <c r="F15" i="7"/>
  <c r="F16" i="7" s="1"/>
  <c r="F18" i="7" s="1"/>
  <c r="G14" i="7"/>
  <c r="G14" i="3"/>
  <c r="G15" i="19" s="1"/>
  <c r="G21" i="19" s="1"/>
  <c r="F15" i="3"/>
  <c r="C19" i="9" l="1"/>
  <c r="C19" i="3"/>
  <c r="D19" i="3" s="1"/>
  <c r="E19" i="3" s="1"/>
  <c r="F16" i="3"/>
  <c r="L17" i="9"/>
  <c r="J28" i="2"/>
  <c r="K28" i="2" s="1"/>
  <c r="M27" i="2" s="1"/>
  <c r="C23" i="9"/>
  <c r="D26" i="19"/>
  <c r="D23" i="9"/>
  <c r="F16" i="19"/>
  <c r="F22" i="19" s="1"/>
  <c r="F25" i="19" s="1"/>
  <c r="L16" i="9"/>
  <c r="F19" i="7"/>
  <c r="F21" i="9"/>
  <c r="G15" i="7"/>
  <c r="G16" i="7" s="1"/>
  <c r="G18" i="7" s="1"/>
  <c r="H14" i="7"/>
  <c r="H14" i="3"/>
  <c r="H15" i="19" s="1"/>
  <c r="H21" i="19" s="1"/>
  <c r="G15" i="3"/>
  <c r="G16" i="3" l="1"/>
  <c r="G18" i="3" s="1"/>
  <c r="G19" i="9" s="1"/>
  <c r="F18" i="3"/>
  <c r="M25" i="2"/>
  <c r="M26" i="2"/>
  <c r="E26" i="19"/>
  <c r="E23" i="9"/>
  <c r="G16" i="19"/>
  <c r="G22" i="19" s="1"/>
  <c r="G25" i="19" s="1"/>
  <c r="G19" i="7"/>
  <c r="G21" i="9"/>
  <c r="I14" i="7"/>
  <c r="H15" i="7"/>
  <c r="H16" i="7" s="1"/>
  <c r="H18" i="7" s="1"/>
  <c r="I14" i="3"/>
  <c r="I15" i="19" s="1"/>
  <c r="I21" i="19" s="1"/>
  <c r="H15" i="3"/>
  <c r="F19" i="3" l="1"/>
  <c r="G19" i="3" s="1"/>
  <c r="F19" i="9"/>
  <c r="H16" i="3"/>
  <c r="H18" i="3" s="1"/>
  <c r="H19" i="9" s="1"/>
  <c r="F26" i="19"/>
  <c r="F23" i="9"/>
  <c r="H16" i="19"/>
  <c r="H22" i="19" s="1"/>
  <c r="H25" i="19" s="1"/>
  <c r="H19" i="7"/>
  <c r="H21" i="9"/>
  <c r="J14" i="7"/>
  <c r="I15" i="7"/>
  <c r="I16" i="7" s="1"/>
  <c r="I18" i="7" s="1"/>
  <c r="J14" i="3"/>
  <c r="J15" i="19" s="1"/>
  <c r="J21" i="19" s="1"/>
  <c r="I15" i="3"/>
  <c r="H19" i="3" l="1"/>
  <c r="I16" i="3"/>
  <c r="I18" i="3" s="1"/>
  <c r="I19" i="9" s="1"/>
  <c r="G26" i="19"/>
  <c r="G23" i="9"/>
  <c r="I16" i="19"/>
  <c r="I22" i="19" s="1"/>
  <c r="I25" i="19" s="1"/>
  <c r="I19" i="7"/>
  <c r="I21" i="9"/>
  <c r="J15" i="7"/>
  <c r="J16" i="7" s="1"/>
  <c r="J18" i="7" s="1"/>
  <c r="K14" i="7"/>
  <c r="K15" i="7" s="1"/>
  <c r="K14" i="3"/>
  <c r="J15" i="3"/>
  <c r="K16" i="7" l="1"/>
  <c r="I19" i="3"/>
  <c r="J16" i="3"/>
  <c r="H26" i="19"/>
  <c r="H23" i="9"/>
  <c r="K15" i="3"/>
  <c r="K15" i="19"/>
  <c r="J16" i="19"/>
  <c r="J22" i="19" s="1"/>
  <c r="J25" i="19" s="1"/>
  <c r="J19" i="7"/>
  <c r="J21" i="9"/>
  <c r="B8" i="6"/>
  <c r="K18" i="7" l="1"/>
  <c r="L16" i="7"/>
  <c r="K21" i="19"/>
  <c r="L21" i="19" s="1"/>
  <c r="K16" i="3"/>
  <c r="K18" i="3" s="1"/>
  <c r="J18" i="3"/>
  <c r="I26" i="19"/>
  <c r="I23" i="9"/>
  <c r="K16" i="19"/>
  <c r="K22" i="19" s="1"/>
  <c r="B14" i="4"/>
  <c r="B8" i="8"/>
  <c r="B14" i="8" s="1"/>
  <c r="K19" i="9" l="1"/>
  <c r="L18" i="3"/>
  <c r="M18" i="3" s="1"/>
  <c r="K21" i="9"/>
  <c r="L21" i="9" s="1"/>
  <c r="L18" i="7"/>
  <c r="K19" i="7"/>
  <c r="L16" i="3"/>
  <c r="K25" i="19"/>
  <c r="J19" i="9"/>
  <c r="L19" i="9" s="1"/>
  <c r="J19" i="3"/>
  <c r="K19" i="3" s="1"/>
  <c r="M17" i="3" s="1"/>
  <c r="L22" i="19"/>
  <c r="J26" i="19"/>
  <c r="J23" i="9"/>
  <c r="B15" i="8"/>
  <c r="B16" i="8" s="1"/>
  <c r="C14" i="8"/>
  <c r="C14" i="4"/>
  <c r="B15" i="4"/>
  <c r="B16" i="4" s="1"/>
  <c r="B22" i="6"/>
  <c r="M18" i="7" l="1"/>
  <c r="K23" i="9"/>
  <c r="L25" i="19"/>
  <c r="M16" i="7"/>
  <c r="M17" i="7"/>
  <c r="B18" i="4"/>
  <c r="B19" i="4" s="1"/>
  <c r="B18" i="8"/>
  <c r="M16" i="3"/>
  <c r="K26" i="19"/>
  <c r="M24" i="19" s="1"/>
  <c r="B41" i="6"/>
  <c r="B42" i="6" s="1"/>
  <c r="B43" i="6" s="1"/>
  <c r="B35" i="6"/>
  <c r="B36" i="6" s="1"/>
  <c r="B37" i="6" s="1"/>
  <c r="B29" i="6"/>
  <c r="B30" i="6" s="1"/>
  <c r="B31" i="6" s="1"/>
  <c r="B23" i="6"/>
  <c r="B24" i="6" s="1"/>
  <c r="B25" i="6" s="1"/>
  <c r="L23" i="9"/>
  <c r="B18" i="9"/>
  <c r="C22" i="6"/>
  <c r="D14" i="4"/>
  <c r="C15" i="4"/>
  <c r="C15" i="8"/>
  <c r="D14" i="8"/>
  <c r="B22" i="9"/>
  <c r="B19" i="8" l="1"/>
  <c r="M25" i="19"/>
  <c r="C16" i="4"/>
  <c r="C16" i="8"/>
  <c r="M23" i="19"/>
  <c r="M21" i="19"/>
  <c r="C41" i="6"/>
  <c r="C42" i="6" s="1"/>
  <c r="M22" i="19"/>
  <c r="C35" i="6"/>
  <c r="C36" i="6" s="1"/>
  <c r="C29" i="6"/>
  <c r="C30" i="6" s="1"/>
  <c r="C31" i="6" s="1"/>
  <c r="C23" i="6"/>
  <c r="C24" i="6" s="1"/>
  <c r="C25" i="6" s="1"/>
  <c r="B45" i="6"/>
  <c r="B46" i="6" s="1"/>
  <c r="B44" i="6"/>
  <c r="D15" i="4"/>
  <c r="D22" i="6"/>
  <c r="E14" i="4"/>
  <c r="B39" i="6"/>
  <c r="B40" i="6" s="1"/>
  <c r="B38" i="6"/>
  <c r="B27" i="6"/>
  <c r="B26" i="6"/>
  <c r="D15" i="8"/>
  <c r="E14" i="8"/>
  <c r="D16" i="4" l="1"/>
  <c r="D18" i="4" s="1"/>
  <c r="D18" i="9" s="1"/>
  <c r="C18" i="8"/>
  <c r="D16" i="8"/>
  <c r="D18" i="8" s="1"/>
  <c r="D22" i="9" s="1"/>
  <c r="C18" i="4"/>
  <c r="D41" i="6"/>
  <c r="D42" i="6" s="1"/>
  <c r="D35" i="6"/>
  <c r="D36" i="6"/>
  <c r="D23" i="6"/>
  <c r="D24" i="6" s="1"/>
  <c r="D25" i="6" s="1"/>
  <c r="D29" i="6"/>
  <c r="D30" i="6" s="1"/>
  <c r="D31" i="6" s="1"/>
  <c r="B28" i="6"/>
  <c r="B49" i="6" s="1"/>
  <c r="B51" i="6"/>
  <c r="C33" i="6"/>
  <c r="C34" i="6" s="1"/>
  <c r="C32" i="6"/>
  <c r="C26" i="6"/>
  <c r="C27" i="6"/>
  <c r="C28" i="6" s="1"/>
  <c r="E15" i="8"/>
  <c r="F14" i="8"/>
  <c r="E22" i="6"/>
  <c r="E15" i="4"/>
  <c r="F14" i="4"/>
  <c r="C45" i="6"/>
  <c r="C46" i="6" s="1"/>
  <c r="C43" i="6"/>
  <c r="C44" i="6"/>
  <c r="B52" i="6"/>
  <c r="C38" i="6"/>
  <c r="C39" i="6"/>
  <c r="C40" i="6" s="1"/>
  <c r="C37" i="6"/>
  <c r="C50" i="6" l="1"/>
  <c r="E16" i="8"/>
  <c r="E18" i="8" s="1"/>
  <c r="E22" i="9" s="1"/>
  <c r="C49" i="6"/>
  <c r="C22" i="9"/>
  <c r="C19" i="8"/>
  <c r="D19" i="8" s="1"/>
  <c r="E19" i="8" s="1"/>
  <c r="C18" i="9"/>
  <c r="C19" i="4"/>
  <c r="D19" i="4" s="1"/>
  <c r="C51" i="6"/>
  <c r="E16" i="4"/>
  <c r="C52" i="6"/>
  <c r="E41" i="6"/>
  <c r="E42" i="6" s="1"/>
  <c r="E35" i="6"/>
  <c r="E36" i="6" s="1"/>
  <c r="E29" i="6"/>
  <c r="E30" i="6" s="1"/>
  <c r="E31" i="6" s="1"/>
  <c r="E23" i="6"/>
  <c r="E24" i="6" s="1"/>
  <c r="E25" i="6" s="1"/>
  <c r="B33" i="6"/>
  <c r="B34" i="6" s="1"/>
  <c r="B32" i="6"/>
  <c r="D32" i="6"/>
  <c r="D33" i="6"/>
  <c r="D34" i="6" s="1"/>
  <c r="D26" i="6"/>
  <c r="D27" i="6"/>
  <c r="D28" i="6" s="1"/>
  <c r="D38" i="6"/>
  <c r="D39" i="6"/>
  <c r="D40" i="6" s="1"/>
  <c r="D37" i="6"/>
  <c r="D43" i="6"/>
  <c r="D44" i="6"/>
  <c r="D45" i="6"/>
  <c r="D46" i="6" s="1"/>
  <c r="F22" i="6"/>
  <c r="F15" i="4"/>
  <c r="G14" i="4"/>
  <c r="G14" i="8"/>
  <c r="F15" i="8"/>
  <c r="C53" i="6" l="1"/>
  <c r="D50" i="6"/>
  <c r="D51" i="6"/>
  <c r="D49" i="6"/>
  <c r="F16" i="8"/>
  <c r="F18" i="8" s="1"/>
  <c r="F22" i="9" s="1"/>
  <c r="E18" i="4"/>
  <c r="F16" i="4"/>
  <c r="F18" i="4" s="1"/>
  <c r="F18" i="9" s="1"/>
  <c r="D52" i="6"/>
  <c r="F41" i="6"/>
  <c r="F42" i="6" s="1"/>
  <c r="F35" i="6"/>
  <c r="F36" i="6" s="1"/>
  <c r="F23" i="6"/>
  <c r="F24" i="6" s="1"/>
  <c r="F25" i="6" s="1"/>
  <c r="F29" i="6"/>
  <c r="F30" i="6" s="1"/>
  <c r="F31" i="6" s="1"/>
  <c r="B50" i="6"/>
  <c r="C20" i="9"/>
  <c r="C24" i="9" s="1"/>
  <c r="E38" i="6"/>
  <c r="E39" i="6"/>
  <c r="E40" i="6" s="1"/>
  <c r="E37" i="6"/>
  <c r="E26" i="6"/>
  <c r="E27" i="6"/>
  <c r="E28" i="6" s="1"/>
  <c r="H14" i="4"/>
  <c r="G15" i="4"/>
  <c r="G22" i="6"/>
  <c r="G15" i="8"/>
  <c r="H14" i="8"/>
  <c r="E43" i="6"/>
  <c r="E44" i="6"/>
  <c r="E45" i="6"/>
  <c r="E46" i="6" s="1"/>
  <c r="E33" i="6"/>
  <c r="E34" i="6" s="1"/>
  <c r="E32" i="6"/>
  <c r="E18" i="9" l="1"/>
  <c r="D53" i="6"/>
  <c r="D20" i="9" s="1"/>
  <c r="D24" i="9" s="1"/>
  <c r="E51" i="6"/>
  <c r="E50" i="6"/>
  <c r="F19" i="8"/>
  <c r="E49" i="6"/>
  <c r="G16" i="4"/>
  <c r="G16" i="8"/>
  <c r="E19" i="4"/>
  <c r="F19" i="4" s="1"/>
  <c r="E52" i="6"/>
  <c r="B53" i="6"/>
  <c r="G41" i="6"/>
  <c r="G42" i="6" s="1"/>
  <c r="G35" i="6"/>
  <c r="G36" i="6" s="1"/>
  <c r="G23" i="6"/>
  <c r="G24" i="6" s="1"/>
  <c r="G25" i="6" s="1"/>
  <c r="G29" i="6"/>
  <c r="G30" i="6" s="1"/>
  <c r="G31" i="6" s="1"/>
  <c r="C24" i="12"/>
  <c r="C26" i="12" s="1"/>
  <c r="F44" i="6"/>
  <c r="F45" i="6"/>
  <c r="F46" i="6" s="1"/>
  <c r="F43" i="6"/>
  <c r="F38" i="6"/>
  <c r="F39" i="6"/>
  <c r="F40" i="6" s="1"/>
  <c r="F37" i="6"/>
  <c r="F32" i="6"/>
  <c r="F33" i="6"/>
  <c r="F34" i="6" s="1"/>
  <c r="H15" i="8"/>
  <c r="I14" i="8"/>
  <c r="H22" i="6"/>
  <c r="H15" i="4"/>
  <c r="I14" i="4"/>
  <c r="F26" i="6"/>
  <c r="F27" i="6"/>
  <c r="F28" i="6" s="1"/>
  <c r="B20" i="9" l="1"/>
  <c r="B24" i="9" s="1"/>
  <c r="B24" i="12" s="1"/>
  <c r="B26" i="12" s="1"/>
  <c r="B28" i="12" s="1"/>
  <c r="E53" i="6"/>
  <c r="B54" i="6"/>
  <c r="C54" i="6" s="1"/>
  <c r="G18" i="8"/>
  <c r="H16" i="8"/>
  <c r="H18" i="8" s="1"/>
  <c r="H22" i="9" s="1"/>
  <c r="H16" i="4"/>
  <c r="H18" i="4" s="1"/>
  <c r="H18" i="9" s="1"/>
  <c r="G18" i="4"/>
  <c r="F50" i="6"/>
  <c r="F49" i="6"/>
  <c r="F51" i="6"/>
  <c r="F52" i="6"/>
  <c r="B25" i="9"/>
  <c r="C25" i="9" s="1"/>
  <c r="B29" i="12"/>
  <c r="H41" i="6"/>
  <c r="H42" i="6" s="1"/>
  <c r="H35" i="6"/>
  <c r="H36" i="6" s="1"/>
  <c r="H29" i="6"/>
  <c r="H30" i="6" s="1"/>
  <c r="H31" i="6" s="1"/>
  <c r="H23" i="6"/>
  <c r="H24" i="6" s="1"/>
  <c r="H25" i="6" s="1"/>
  <c r="C29" i="12"/>
  <c r="C28" i="12"/>
  <c r="D24" i="12"/>
  <c r="D26" i="12" s="1"/>
  <c r="D54" i="6"/>
  <c r="G33" i="6"/>
  <c r="G34" i="6" s="1"/>
  <c r="G32" i="6"/>
  <c r="G44" i="6"/>
  <c r="G45" i="6"/>
  <c r="G46" i="6" s="1"/>
  <c r="G43" i="6"/>
  <c r="I22" i="6"/>
  <c r="I15" i="4"/>
  <c r="J14" i="4"/>
  <c r="G37" i="6"/>
  <c r="G39" i="6"/>
  <c r="G40" i="6" s="1"/>
  <c r="G38" i="6"/>
  <c r="I15" i="8"/>
  <c r="J14" i="8"/>
  <c r="G26" i="6"/>
  <c r="G27" i="6"/>
  <c r="G28" i="6" s="1"/>
  <c r="G50" i="6" l="1"/>
  <c r="B25" i="12"/>
  <c r="B27" i="12" s="1"/>
  <c r="B30" i="12" s="1"/>
  <c r="F53" i="6"/>
  <c r="G18" i="9"/>
  <c r="G19" i="4"/>
  <c r="H19" i="4" s="1"/>
  <c r="G51" i="6"/>
  <c r="I16" i="4"/>
  <c r="I18" i="4" s="1"/>
  <c r="I18" i="9" s="1"/>
  <c r="G49" i="6"/>
  <c r="G53" i="6" s="1"/>
  <c r="G19" i="8"/>
  <c r="H19" i="8" s="1"/>
  <c r="G22" i="9"/>
  <c r="I16" i="8"/>
  <c r="I18" i="8" s="1"/>
  <c r="I22" i="9" s="1"/>
  <c r="G52" i="6"/>
  <c r="I41" i="6"/>
  <c r="I42" i="6" s="1"/>
  <c r="I35" i="6"/>
  <c r="I36" i="6" s="1"/>
  <c r="I29" i="6"/>
  <c r="I30" i="6" s="1"/>
  <c r="I31" i="6" s="1"/>
  <c r="I23" i="6"/>
  <c r="I24" i="6" s="1"/>
  <c r="I25" i="6" s="1"/>
  <c r="D29" i="12"/>
  <c r="D28" i="12"/>
  <c r="C25" i="12"/>
  <c r="C27" i="12" s="1"/>
  <c r="D25" i="9"/>
  <c r="E54" i="6"/>
  <c r="F20" i="9"/>
  <c r="F24" i="9" s="1"/>
  <c r="E20" i="9"/>
  <c r="E24" i="9" s="1"/>
  <c r="H44" i="6"/>
  <c r="H45" i="6"/>
  <c r="H46" i="6" s="1"/>
  <c r="H43" i="6"/>
  <c r="J22" i="6"/>
  <c r="J15" i="4"/>
  <c r="K14" i="4"/>
  <c r="K14" i="8"/>
  <c r="K15" i="8" s="1"/>
  <c r="J15" i="8"/>
  <c r="H37" i="6"/>
  <c r="H38" i="6"/>
  <c r="H39" i="6"/>
  <c r="H40" i="6" s="1"/>
  <c r="H33" i="6"/>
  <c r="H34" i="6" s="1"/>
  <c r="H32" i="6"/>
  <c r="H26" i="6"/>
  <c r="H27" i="6"/>
  <c r="H28" i="6" s="1"/>
  <c r="I19" i="4" l="1"/>
  <c r="I19" i="8"/>
  <c r="H50" i="6"/>
  <c r="B31" i="12"/>
  <c r="H49" i="6"/>
  <c r="H51" i="6"/>
  <c r="J16" i="4"/>
  <c r="J18" i="4" s="1"/>
  <c r="J18" i="9" s="1"/>
  <c r="J16" i="8"/>
  <c r="J18" i="8" s="1"/>
  <c r="K16" i="8"/>
  <c r="H52" i="6"/>
  <c r="J41" i="6"/>
  <c r="J42" i="6" s="1"/>
  <c r="J35" i="6"/>
  <c r="J36" i="6" s="1"/>
  <c r="J29" i="6"/>
  <c r="J30" i="6" s="1"/>
  <c r="J31" i="6" s="1"/>
  <c r="J23" i="6"/>
  <c r="J24" i="6" s="1"/>
  <c r="J25" i="6" s="1"/>
  <c r="C31" i="12"/>
  <c r="C30" i="12"/>
  <c r="F24" i="12"/>
  <c r="F26" i="12" s="1"/>
  <c r="D25" i="12"/>
  <c r="D27" i="12" s="1"/>
  <c r="F54" i="6"/>
  <c r="I32" i="6"/>
  <c r="I33" i="6"/>
  <c r="I34" i="6" s="1"/>
  <c r="I26" i="6"/>
  <c r="I27" i="6"/>
  <c r="I28" i="6" s="1"/>
  <c r="I45" i="6"/>
  <c r="I46" i="6" s="1"/>
  <c r="I44" i="6"/>
  <c r="I43" i="6"/>
  <c r="K22" i="6"/>
  <c r="K15" i="4"/>
  <c r="I38" i="6"/>
  <c r="I39" i="6"/>
  <c r="I40" i="6" s="1"/>
  <c r="I37" i="6"/>
  <c r="H53" i="6" l="1"/>
  <c r="J19" i="8"/>
  <c r="J22" i="9"/>
  <c r="I51" i="6"/>
  <c r="J19" i="4"/>
  <c r="I49" i="6"/>
  <c r="K18" i="8"/>
  <c r="L16" i="8"/>
  <c r="K16" i="4"/>
  <c r="I50" i="6"/>
  <c r="I52" i="6"/>
  <c r="K41" i="6"/>
  <c r="K42" i="6" s="1"/>
  <c r="K35" i="6"/>
  <c r="K36" i="6" s="1"/>
  <c r="K29" i="6"/>
  <c r="K30" i="6" s="1"/>
  <c r="K31" i="6" s="1"/>
  <c r="K23" i="6"/>
  <c r="K24" i="6" s="1"/>
  <c r="K25" i="6" s="1"/>
  <c r="F28" i="12"/>
  <c r="F29" i="12"/>
  <c r="D31" i="12"/>
  <c r="D30" i="12"/>
  <c r="E25" i="9"/>
  <c r="E25" i="12" s="1"/>
  <c r="E27" i="12" s="1"/>
  <c r="E24" i="12"/>
  <c r="E26" i="12" s="1"/>
  <c r="H20" i="9"/>
  <c r="H24" i="9" s="1"/>
  <c r="G20" i="9"/>
  <c r="G24" i="9" s="1"/>
  <c r="G54" i="6"/>
  <c r="J26" i="6"/>
  <c r="J27" i="6"/>
  <c r="J28" i="6" s="1"/>
  <c r="J32" i="6"/>
  <c r="J33" i="6"/>
  <c r="J34" i="6" s="1"/>
  <c r="J43" i="6"/>
  <c r="J44" i="6"/>
  <c r="J45" i="6"/>
  <c r="J46" i="6" s="1"/>
  <c r="J38" i="6"/>
  <c r="J39" i="6"/>
  <c r="J40" i="6" s="1"/>
  <c r="J37" i="6"/>
  <c r="K22" i="9" l="1"/>
  <c r="L22" i="9" s="1"/>
  <c r="L18" i="8"/>
  <c r="J51" i="6"/>
  <c r="K18" i="4"/>
  <c r="L18" i="4" s="1"/>
  <c r="L16" i="4"/>
  <c r="J50" i="6"/>
  <c r="I53" i="6"/>
  <c r="I20" i="9" s="1"/>
  <c r="I24" i="9" s="1"/>
  <c r="J49" i="6"/>
  <c r="K19" i="8"/>
  <c r="M17" i="8" s="1"/>
  <c r="J52" i="6"/>
  <c r="E29" i="12"/>
  <c r="E28" i="12"/>
  <c r="E31" i="12"/>
  <c r="E30" i="12"/>
  <c r="G24" i="12"/>
  <c r="G26" i="12" s="1"/>
  <c r="F25" i="9"/>
  <c r="H24" i="12"/>
  <c r="H26" i="12" s="1"/>
  <c r="H54" i="6"/>
  <c r="K39" i="6"/>
  <c r="K40" i="6" s="1"/>
  <c r="K38" i="6"/>
  <c r="K37" i="6"/>
  <c r="K32" i="6"/>
  <c r="K33" i="6"/>
  <c r="K34" i="6" s="1"/>
  <c r="K26" i="6"/>
  <c r="K27" i="6"/>
  <c r="K28" i="6" s="1"/>
  <c r="K44" i="6"/>
  <c r="K45" i="6"/>
  <c r="K46" i="6" s="1"/>
  <c r="K43" i="6"/>
  <c r="M18" i="8" l="1"/>
  <c r="K49" i="6"/>
  <c r="K51" i="6"/>
  <c r="M51" i="6" s="1"/>
  <c r="K50" i="6"/>
  <c r="M50" i="6" s="1"/>
  <c r="J53" i="6"/>
  <c r="J20" i="9" s="1"/>
  <c r="J24" i="9" s="1"/>
  <c r="K19" i="4"/>
  <c r="M17" i="4" s="1"/>
  <c r="K18" i="9"/>
  <c r="L18" i="9" s="1"/>
  <c r="M16" i="8"/>
  <c r="K52" i="6"/>
  <c r="M52" i="6" s="1"/>
  <c r="M49" i="6"/>
  <c r="H29" i="12"/>
  <c r="H28" i="12"/>
  <c r="G29" i="12"/>
  <c r="G28" i="12"/>
  <c r="F25" i="12"/>
  <c r="F27" i="12" s="1"/>
  <c r="I24" i="12"/>
  <c r="I26" i="12" s="1"/>
  <c r="G25" i="9"/>
  <c r="G25" i="12" s="1"/>
  <c r="G27" i="12" s="1"/>
  <c r="I54" i="6"/>
  <c r="M18" i="4" l="1"/>
  <c r="L51" i="6"/>
  <c r="L50" i="6"/>
  <c r="K53" i="6"/>
  <c r="M53" i="6" s="1"/>
  <c r="L52" i="6"/>
  <c r="M16" i="4"/>
  <c r="G31" i="12"/>
  <c r="G30" i="12"/>
  <c r="I29" i="12"/>
  <c r="I28" i="12"/>
  <c r="F31" i="12"/>
  <c r="F30" i="12"/>
  <c r="H25" i="9"/>
  <c r="I25" i="9" s="1"/>
  <c r="J24" i="12"/>
  <c r="J26" i="12" s="1"/>
  <c r="J54" i="6"/>
  <c r="K20" i="9"/>
  <c r="K24" i="9" s="1"/>
  <c r="L49" i="6"/>
  <c r="L53" i="6" l="1"/>
  <c r="J29" i="12"/>
  <c r="J28" i="12"/>
  <c r="H25" i="12"/>
  <c r="H27" i="12" s="1"/>
  <c r="J25" i="9"/>
  <c r="I25" i="12"/>
  <c r="I27" i="12" s="1"/>
  <c r="K24" i="12"/>
  <c r="K26" i="12" s="1"/>
  <c r="K54" i="6"/>
  <c r="N53" i="6" s="1"/>
  <c r="L20" i="9"/>
  <c r="L24" i="9" s="1"/>
  <c r="N52" i="6" l="1"/>
  <c r="N51" i="6"/>
  <c r="N50" i="6"/>
  <c r="N48" i="6"/>
  <c r="N49" i="6"/>
  <c r="M15" i="9"/>
  <c r="M23" i="9"/>
  <c r="K29" i="12"/>
  <c r="K28" i="12"/>
  <c r="H31" i="12"/>
  <c r="H30" i="12"/>
  <c r="I31" i="12"/>
  <c r="I30" i="12"/>
  <c r="J25" i="12"/>
  <c r="J27" i="12" s="1"/>
  <c r="M20" i="9"/>
  <c r="K25" i="9"/>
  <c r="J31" i="12" l="1"/>
  <c r="J30" i="12"/>
  <c r="B29" i="9"/>
  <c r="B30" i="9" s="1"/>
  <c r="K25" i="12"/>
  <c r="K27" i="12" s="1"/>
  <c r="K26" i="9"/>
  <c r="M18" i="9"/>
  <c r="J26" i="9"/>
  <c r="M21" i="9"/>
  <c r="C26" i="9"/>
  <c r="F26" i="9"/>
  <c r="H26" i="9"/>
  <c r="M17" i="9"/>
  <c r="D26" i="9"/>
  <c r="E26" i="9"/>
  <c r="I26" i="9"/>
  <c r="M19" i="9"/>
  <c r="G26" i="9"/>
  <c r="M16" i="9"/>
  <c r="B26" i="9"/>
  <c r="M22" i="9"/>
  <c r="M24" i="9" l="1"/>
  <c r="K31" i="12"/>
  <c r="K30" i="12"/>
</calcChain>
</file>

<file path=xl/sharedStrings.xml><?xml version="1.0" encoding="utf-8"?>
<sst xmlns="http://schemas.openxmlformats.org/spreadsheetml/2006/main" count="381" uniqueCount="274">
  <si>
    <t>Year-over-year cost escalation (%)</t>
  </si>
  <si>
    <t>Average annual rate of inflation over the 10-year period</t>
  </si>
  <si>
    <t>TYPE 1</t>
  </si>
  <si>
    <t>TYPE 2</t>
  </si>
  <si>
    <t>TYPE 3</t>
  </si>
  <si>
    <t>TYPE 4</t>
  </si>
  <si>
    <t xml:space="preserve">Enter the number of facilites of each COST type. </t>
  </si>
  <si>
    <t>The annual expansion rate of the number of facilities, expressed as a %</t>
  </si>
  <si>
    <t>country population</t>
  </si>
  <si>
    <t xml:space="preserve"># Health Workers </t>
  </si>
  <si>
    <t xml:space="preserve">The number of health workers across ALL cadres (doctors, nurses, pharmacists, CHWs…). </t>
  </si>
  <si>
    <t>The annual expansion rate of the health workforce, expressed as a %</t>
  </si>
  <si>
    <t>Pre-Launch Costs</t>
  </si>
  <si>
    <t>This value is from the "Pre-Launch" column on the Governance tab; it indicates activities to be undertaken BEFORE implementing national digital health infrastructure</t>
  </si>
  <si>
    <t>Year</t>
  </si>
  <si>
    <t>10-yr Total</t>
  </si>
  <si>
    <t>Governance</t>
  </si>
  <si>
    <t>Datacentre infrastructure</t>
  </si>
  <si>
    <t>Client Registry</t>
  </si>
  <si>
    <t>Facility Registry</t>
  </si>
  <si>
    <t>Health Worker Registry</t>
  </si>
  <si>
    <t>Shared Health Record</t>
  </si>
  <si>
    <t>Terminology Services</t>
  </si>
  <si>
    <t>HMIS</t>
  </si>
  <si>
    <t>HHR Capacity-building</t>
  </si>
  <si>
    <t>Total Annual Cost</t>
  </si>
  <si>
    <t>Running total cost</t>
  </si>
  <si>
    <t>10-yr avg annual ICT cost per capita</t>
  </si>
  <si>
    <t>ICT as a % of health expenditure</t>
  </si>
  <si>
    <t>Year over year cost escalation (%)</t>
  </si>
  <si>
    <t>YEAR</t>
  </si>
  <si>
    <t>#</t>
  </si>
  <si>
    <t>Units</t>
  </si>
  <si>
    <t>Cost per Unit</t>
  </si>
  <si>
    <t>Extended Cost</t>
  </si>
  <si>
    <t>Pre-Launch</t>
  </si>
  <si>
    <t>10-year Cost</t>
  </si>
  <si>
    <t>Digital Health Strategy</t>
  </si>
  <si>
    <t>Put a "1" for the years when this activity is to be done</t>
  </si>
  <si>
    <t>Subject Matter Experts</t>
  </si>
  <si>
    <t>days</t>
  </si>
  <si>
    <t>Workshops</t>
  </si>
  <si>
    <t>each</t>
  </si>
  <si>
    <t>Regional meetings</t>
  </si>
  <si>
    <t>Subtotal</t>
  </si>
  <si>
    <t>Digital Health Blueprint</t>
  </si>
  <si>
    <t>eHealth Norms and Standards</t>
  </si>
  <si>
    <t>Health Data Sharing Policy</t>
  </si>
  <si>
    <t>Digital Health Governance</t>
  </si>
  <si>
    <t>Annual cost/unit</t>
  </si>
  <si>
    <t>Annual costs</t>
  </si>
  <si>
    <t>Committees</t>
  </si>
  <si>
    <t>department</t>
  </si>
  <si>
    <t xml:space="preserve">Regular meetings </t>
  </si>
  <si>
    <t>meetings</t>
  </si>
  <si>
    <t>National meetings</t>
  </si>
  <si>
    <t>Annual Cost (including escalation)</t>
  </si>
  <si>
    <t xml:space="preserve">Pre-Launch costs: </t>
  </si>
  <si>
    <t>IT installer rate ($/hr)</t>
  </si>
  <si>
    <t>Hourly rate for infrastructure application consultants (e.g. international consultants)</t>
  </si>
  <si>
    <t>IT operator rate ($/hr)</t>
  </si>
  <si>
    <t>Hourly rate for local country IT operators for datacentre</t>
  </si>
  <si>
    <t>Software maintenance fee (% of license fee)</t>
  </si>
  <si>
    <t>Annual maintenance fee for software (e.g. commercial software is typically 15% annual maint. fee)</t>
  </si>
  <si>
    <t>Software fee ($)</t>
  </si>
  <si>
    <t>VM fee ($)</t>
  </si>
  <si>
    <t>IT Effort (hrs)</t>
  </si>
  <si>
    <t>Extended cost ($)</t>
  </si>
  <si>
    <t>For datacentre installation, enter 1-time costs for the SETUP and INSTALLATION</t>
  </si>
  <si>
    <t>Datacentre Installation (1-time costs)</t>
  </si>
  <si>
    <t>Client Registry (CR)</t>
  </si>
  <si>
    <t>Health Worker Registry (ILR-HWR)</t>
  </si>
  <si>
    <t>Facility Registry (ILR-FR)</t>
  </si>
  <si>
    <t>Terminology Server (TS)</t>
  </si>
  <si>
    <t>Shared Health Record Repository (SHR)</t>
  </si>
  <si>
    <t>Health Management Information System (HMIS)</t>
  </si>
  <si>
    <t>Interoperability Layer (IL)</t>
  </si>
  <si>
    <r>
      <t xml:space="preserve">** either enter an all-in cost </t>
    </r>
    <r>
      <rPr>
        <b/>
        <u/>
        <sz val="11"/>
        <color rgb="FFFF0000"/>
        <rFont val="Calibri"/>
        <family val="2"/>
        <scheme val="minor"/>
      </rPr>
      <t>or</t>
    </r>
    <r>
      <rPr>
        <b/>
        <sz val="11"/>
        <color rgb="FFFF0000"/>
        <rFont val="Calibri"/>
        <family val="2"/>
        <scheme val="minor"/>
      </rPr>
      <t xml:space="preserve"> enter installation costs for each infrastructure actor (not both)</t>
    </r>
  </si>
  <si>
    <t>Datacentre Operation (monthly costs)</t>
  </si>
  <si>
    <t>For datacentre operation, enter monthly fees for Virtual Machines (VMs) and for ongoing SUPPORT</t>
  </si>
  <si>
    <r>
      <t xml:space="preserve">** either enter an all-in monthly cost </t>
    </r>
    <r>
      <rPr>
        <b/>
        <u/>
        <sz val="11"/>
        <color rgb="FFFF0000"/>
        <rFont val="Calibri"/>
        <family val="2"/>
        <scheme val="minor"/>
      </rPr>
      <t>or</t>
    </r>
    <r>
      <rPr>
        <b/>
        <sz val="11"/>
        <color rgb="FFFF0000"/>
        <rFont val="Calibri"/>
        <family val="2"/>
        <scheme val="minor"/>
      </rPr>
      <t xml:space="preserve"> enter monthly support costs for each infrastructure actor (not both)</t>
    </r>
  </si>
  <si>
    <t>Running Total Cost</t>
  </si>
  <si>
    <t>Initial Population size (#)</t>
  </si>
  <si>
    <t>Population growth rate (%)</t>
  </si>
  <si>
    <t>The cost per card could be low (e.g. $0.02 for barcode sticker, $0.15 per cardboard card) or high ($5 per plastic card with a chip and a picture)</t>
  </si>
  <si>
    <t xml:space="preserve">Enter the "valid for" time period, after which the cards will need to be renewed (e.g. 5 years is typical for a "picture" card) </t>
  </si>
  <si>
    <t>Percentage of cards per year that will need to be regenerated because they were lost or damaged, etc.</t>
  </si>
  <si>
    <t>ID issuing facilities (#)</t>
  </si>
  <si>
    <t xml:space="preserve">How many facilities will be able to issue cards? </t>
  </si>
  <si>
    <t>ID establishment  setup cost ($)</t>
  </si>
  <si>
    <t>What will be setup cost per facility (e.g. will they need photo equipment, or a plastic card printer, or only a laminator)?</t>
  </si>
  <si>
    <t>ID establishment  operating cost ($/mo.)</t>
  </si>
  <si>
    <t>What will be the incremental added monthly cost needed to support card issuing at this facility?</t>
  </si>
  <si>
    <t>Population (#)</t>
  </si>
  <si>
    <t>Running total Costs</t>
  </si>
  <si>
    <t>NOTE: it is assumed that a facility registry based on a federation of underlying data sources is being deployed (similar to OpenHIE's inter-linked registry).</t>
  </si>
  <si>
    <t>Facility databases (#)</t>
  </si>
  <si>
    <t>How many underlying databases will contain facility data (e.g. DHIS2 database, military facility list, etc.)?</t>
  </si>
  <si>
    <t>Cost per database application interface  ($)</t>
  </si>
  <si>
    <t>What will it cost to connect each database to the InterLinked Registry?</t>
  </si>
  <si>
    <t>API maintenance cost per year (%)</t>
  </si>
  <si>
    <t>What will be the annual maintenance fee (as a %) to support each database interface?</t>
  </si>
  <si>
    <t>Public and private care facilities (#)</t>
  </si>
  <si>
    <t>Annual growth rate (%)</t>
  </si>
  <si>
    <t>MOH interactions per facility per year (#)</t>
  </si>
  <si>
    <t>The data must be kept accurate and fresh; how many times each year will MOH contact each facility to confirm/refresh data?</t>
  </si>
  <si>
    <t>Cost per interaction ($)</t>
  </si>
  <si>
    <t>What will each "refresh" cost (e.g. $.10 per SMS, $5 per phone call, $50 per in-person visit)?</t>
  </si>
  <si>
    <t>Facilities (#)</t>
  </si>
  <si>
    <t>MOH Interactions</t>
  </si>
  <si>
    <t>Interaction costs</t>
  </si>
  <si>
    <t>Database API costs</t>
  </si>
  <si>
    <t>NOTE: it is assumed that a health workder registry based on a federation of underlying data sources is being deployed (similar to OpenHIE's inter-linked registry).</t>
  </si>
  <si>
    <t>Health Worker Cadre databases (#)</t>
  </si>
  <si>
    <t>How many underlying databases will contain health worker data (e.g. College of Physicians, College of Nurses, MOH payroll system, etc.)?</t>
  </si>
  <si>
    <t>Initial HW population (#)</t>
  </si>
  <si>
    <t>MOH interactions per HW per year (#)</t>
  </si>
  <si>
    <t>The data must be kept accurate and fresh; how many times each year will MOH contact each health worker to confirm/refresh data?</t>
  </si>
  <si>
    <t>HW Population (#)</t>
  </si>
  <si>
    <t>Database interface costs</t>
  </si>
  <si>
    <t>Unique health ICT applications (#)</t>
  </si>
  <si>
    <t>How many unique point of service software systems (EMRs, mHealth apps, lab, etc.) need to be interfaced to the Interopability Layer?</t>
  </si>
  <si>
    <t>Cost per application interface  ($)</t>
  </si>
  <si>
    <t>What will be the cost, per POS, to develop the full suite of necessary interfaces (e.g. PIX, PDQ, XDS, etc.)?</t>
  </si>
  <si>
    <t>What will be annual support cost for each interface (as a % of original dev cost)?</t>
  </si>
  <si>
    <t>Facilities (from Summary sheet) (#)</t>
  </si>
  <si>
    <t>Facilities of this TYPE (%)</t>
  </si>
  <si>
    <t>Facilities of this TYPE (#)</t>
  </si>
  <si>
    <t>1-time ICT implementation cost for TYPE ($)</t>
  </si>
  <si>
    <t>What is the implementation cost for a POS at each type of facility (e.g. EMR implementation cost)?</t>
  </si>
  <si>
    <t>Annual ICT operating cost for TYPE ($)</t>
  </si>
  <si>
    <t>What is the annual operating cost for the POS at this facility type (e.g. IT support plus internet cost, etc.)?</t>
  </si>
  <si>
    <t>Current ICT adoption by this TYPE (%)</t>
  </si>
  <si>
    <t>Current ICT-capable by this TYPE (#)</t>
  </si>
  <si>
    <t>MOH interactions per year (#)</t>
  </si>
  <si>
    <t>How many times per year will MOH "interact" with each installation (e.g. to confirm security, refresh code lists, etc.)?</t>
  </si>
  <si>
    <t>MOH cost per interaction ($)</t>
  </si>
  <si>
    <t>What will it cost per audit (e.g. $.10 for SMS, $5 for phone call, $50 for onsite visit)?</t>
  </si>
  <si>
    <t>Total Facilities (from ILR-FR sheet) (#)</t>
  </si>
  <si>
    <t>TYPE 1 Facilities with ICT (#)</t>
  </si>
  <si>
    <t>TYPE 1 new (1-time) ICT costs</t>
  </si>
  <si>
    <t>TYPE 1 operating costs</t>
  </si>
  <si>
    <t>TYPE 1 MOH interactions (#)</t>
  </si>
  <si>
    <t>TYPE 1 interaction costs</t>
  </si>
  <si>
    <t>TYPE 2 Facilities with ICT (#)</t>
  </si>
  <si>
    <t>TYPE 2 new (1-time) ICT costs</t>
  </si>
  <si>
    <t>TYPE 2 operating costs</t>
  </si>
  <si>
    <t>TYPE 2 MOH interactions (#)</t>
  </si>
  <si>
    <t>TYPE 2 interaction costs</t>
  </si>
  <si>
    <t>TYPE 3 Facilities with ICT (#)</t>
  </si>
  <si>
    <t>TYPE 3 new (1-time) ICT costs</t>
  </si>
  <si>
    <t>TYPE 3 operating costs</t>
  </si>
  <si>
    <t>TYPE 3 MOH interactions (#)</t>
  </si>
  <si>
    <t>TYPE 3 interaction costs</t>
  </si>
  <si>
    <t>TYPE 4 Facilities with ICT (#)</t>
  </si>
  <si>
    <t>TYPE 4 new (1-time) ICT costs</t>
  </si>
  <si>
    <t>TYPE 4 operating costs</t>
  </si>
  <si>
    <t>TYPE 4 MOH interactions (#)</t>
  </si>
  <si>
    <t>TYPE 4 interaction costs</t>
  </si>
  <si>
    <t>Health ICT application Interface Costs</t>
  </si>
  <si>
    <t>TYPE 1 Facility ICT Cost</t>
  </si>
  <si>
    <t>TYPE 2 Facility ICT Cost</t>
  </si>
  <si>
    <t>TYPE 3 Facility ICT Cost</t>
  </si>
  <si>
    <t>TYPE 4 Facility ICT Cost</t>
  </si>
  <si>
    <t>Terminology servers (#)</t>
  </si>
  <si>
    <t>Total cost of codelist databases ($)</t>
  </si>
  <si>
    <t>What is the one-time fee for licensing codelists (e.g. SNOMED-CT, ICD-10, LOINC, CPT, etc.)?</t>
  </si>
  <si>
    <t>Codelist maintenance cost per year (%)</t>
  </si>
  <si>
    <t>What is the annual maintenance fee for the codelists (expressed as a % of purchase fee)?</t>
  </si>
  <si>
    <t># of software applications (from SHR sheet)</t>
  </si>
  <si>
    <t>MOH interactions per app per year (#)</t>
  </si>
  <si>
    <t>How many times per year will MOH "refresh" the codelists in the POS applications?</t>
  </si>
  <si>
    <t>How much will it cost for each codelist refresh (including POS conformance testing)?</t>
  </si>
  <si>
    <t>Health ICT applications (#)</t>
  </si>
  <si>
    <t>Codelist costs</t>
  </si>
  <si>
    <t>HMIS databases (#)</t>
  </si>
  <si>
    <t>How many HMIS data warehouses will need to be maintained (e.g. one for MOH, one for health insurer, etc.)?</t>
  </si>
  <si>
    <t>Cost per SHR-HMIS interface  ($)</t>
  </si>
  <si>
    <t>What will it cost to connect the SHR to each database?</t>
  </si>
  <si>
    <t># Facilities (from ILR-FR sheet)</t>
  </si>
  <si>
    <t>Annual growth rate (from ILR-FR sheet)</t>
  </si>
  <si>
    <t>HMIS data collections per facility per year (#)</t>
  </si>
  <si>
    <t>In addition to the SHR data feed, how many times per year will each facility need to upload "tally sheet" data to the HMIS?</t>
  </si>
  <si>
    <t>What will each upload cost (e.g. labour cost plus transmission cost per tally and upload)?</t>
  </si>
  <si>
    <t>NOTE: it is assumed that there will be three main areas of digital health capacity-building investment:</t>
  </si>
  <si>
    <t>1. Education regarding data use (each health worker, HW)</t>
  </si>
  <si>
    <t>3. Degree-granting academic programmes in health informatics (each degree-granting programme)</t>
  </si>
  <si>
    <t>Initial cost: HW education in data use ($/HW)</t>
  </si>
  <si>
    <t>Cost per HW of in-person or online course in data use</t>
  </si>
  <si>
    <t>Annual refresher cost: HW education in data use ($/HW)</t>
  </si>
  <si>
    <t>Cost per HW of in-person or online annual refresher course</t>
  </si>
  <si>
    <t>Setup cost: academic HI programme ($/institution)</t>
  </si>
  <si>
    <t>Cost to establish a new health informatics curriculum at an academic institution</t>
  </si>
  <si>
    <t>Annual cost (net): academic HI programme ($/institution)</t>
  </si>
  <si>
    <t>Annual cost, net of student tuition fees, of operating the HI programme</t>
  </si>
  <si>
    <t>HW to receive initial data use education (#)</t>
  </si>
  <si>
    <t>HW to receive refresher data use education (#)</t>
  </si>
  <si>
    <r>
      <t xml:space="preserve">Insert, for each year, the number of </t>
    </r>
    <r>
      <rPr>
        <b/>
        <i/>
        <sz val="11"/>
        <color rgb="FFFF0000"/>
        <rFont val="Calibri"/>
        <family val="2"/>
        <scheme val="minor"/>
      </rPr>
      <t>new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academic programmes to be launched</t>
    </r>
  </si>
  <si>
    <t>New academic programme introduced (#)</t>
  </si>
  <si>
    <t>Running total of academic HI programmes (#)</t>
  </si>
  <si>
    <t>HW data use education - initial ($)</t>
  </si>
  <si>
    <t>HW data use education - refresher ($)</t>
  </si>
  <si>
    <t>Academic programme - setup ($)</t>
  </si>
  <si>
    <t>Academic programmes - net operating ($)</t>
  </si>
  <si>
    <t>Annual population increase (%)</t>
  </si>
  <si>
    <t>Target cost/QALY (CET)</t>
  </si>
  <si>
    <t>***Use GDP per capita in USD as the Cost Effectiveness Threshold (CET)</t>
  </si>
  <si>
    <t>Interventions</t>
  </si>
  <si>
    <t>Ischemic Heart D.</t>
  </si>
  <si>
    <t>Total QALYs</t>
  </si>
  <si>
    <t>Running Total</t>
  </si>
  <si>
    <t>Potential Health Impact (QALYs)</t>
  </si>
  <si>
    <t>NOTE: obtain QALY figures from IHME for country of interest</t>
  </si>
  <si>
    <t>Lead time (years before benefit)</t>
  </si>
  <si>
    <t>Benefit realization  (%)</t>
  </si>
  <si>
    <t>YEAR (QALYs):</t>
  </si>
  <si>
    <t xml:space="preserve">10-year QALYs </t>
  </si>
  <si>
    <t>Running total QALYs</t>
  </si>
  <si>
    <t>Total costs ($)</t>
  </si>
  <si>
    <t>Running total costs ($)</t>
  </si>
  <si>
    <t>Cost per QALY</t>
  </si>
  <si>
    <t>Running cost per QALY</t>
  </si>
  <si>
    <t>CET / Cost per QALY</t>
  </si>
  <si>
    <t>Cost per QALY / CET</t>
  </si>
  <si>
    <t>CET / Running Cost per QALY</t>
  </si>
  <si>
    <t>Running Cost per QALY / CET</t>
  </si>
  <si>
    <t>How many years will it take to do a rollout to all facilities?</t>
  </si>
  <si>
    <t>ICT rollout period (yrs)</t>
  </si>
  <si>
    <t>Facilities for which MOH pays (%)</t>
  </si>
  <si>
    <t>What proportion of the facilities are MOH-supported (vs private sector)?</t>
  </si>
  <si>
    <t>TYPE 1 Facilities MOH pays for (#)</t>
  </si>
  <si>
    <t>TYPE 2 Facilities MOH pays for (#)</t>
  </si>
  <si>
    <t>How many MOH-supported facilities of each type already HAVE eHealth systems in place?</t>
  </si>
  <si>
    <t>MOH-supported facilities (#)</t>
  </si>
  <si>
    <t>TYPE 3 Facilities MOH pays for (#)</t>
  </si>
  <si>
    <t>TYPE 4 Facilities MOH pays for (#)</t>
  </si>
  <si>
    <t>Proportion that need cards (%)</t>
  </si>
  <si>
    <t>Population with ID cards (#)</t>
  </si>
  <si>
    <t>ID issuing facility costs ($)</t>
  </si>
  <si>
    <t>ID card provisioning cost ($/ea)</t>
  </si>
  <si>
    <t>Digital ID provisioning cost ($/ea)</t>
  </si>
  <si>
    <t>ID card renewal period (yrs)</t>
  </si>
  <si>
    <t>ID card churn rate (%/yr)</t>
  </si>
  <si>
    <r>
      <t xml:space="preserve">The cost of establishing a unique </t>
    </r>
    <r>
      <rPr>
        <b/>
        <sz val="11"/>
        <color rgb="FFFF0000"/>
        <rFont val="Calibri"/>
        <family val="2"/>
        <scheme val="minor"/>
      </rPr>
      <t xml:space="preserve">digital ID </t>
    </r>
    <r>
      <rPr>
        <sz val="11"/>
        <color rgb="FFFF0000"/>
        <rFont val="Calibri"/>
        <family val="2"/>
        <scheme val="minor"/>
      </rPr>
      <t>for health (e.g. ID confirmation, PKI certificate, etc.)</t>
    </r>
  </si>
  <si>
    <t>Initial proportion that need digital IDs (%)</t>
  </si>
  <si>
    <t>New ID cards issued (#)</t>
  </si>
  <si>
    <t>IDs cards renewed (#)</t>
  </si>
  <si>
    <t>ID card issuing costs ($)</t>
  </si>
  <si>
    <t>Digital IDs provisioned (#)</t>
  </si>
  <si>
    <t>Annual facility growth rate (%)</t>
  </si>
  <si>
    <t>HW population growth rate (%)</t>
  </si>
  <si>
    <r>
      <t xml:space="preserve">Segregate facilities by up to 4 categories from a </t>
    </r>
    <r>
      <rPr>
        <b/>
        <sz val="11"/>
        <color rgb="FFFF0000"/>
        <rFont val="Calibri"/>
        <family val="2"/>
        <scheme val="minor"/>
      </rPr>
      <t>COST</t>
    </r>
    <r>
      <rPr>
        <sz val="11"/>
        <color rgb="FFFF0000"/>
        <rFont val="Calibri"/>
        <family val="2"/>
        <scheme val="minor"/>
      </rPr>
      <t xml:space="preserve"> standpoint (e.g. hospitals, clinics, health outposts &amp; labs &amp; pharmacies…)</t>
    </r>
  </si>
  <si>
    <t>Population size (#)</t>
  </si>
  <si>
    <t>Annual population growth rate (%)</t>
  </si>
  <si>
    <t>"All in" one-time setup cost ($)</t>
  </si>
  <si>
    <t>"All in" infrastructure monthly operating cost ($)</t>
  </si>
  <si>
    <r>
      <t xml:space="preserve">What proportion of the population need their digital ID established (e.g. do not already </t>
    </r>
    <r>
      <rPr>
        <b/>
        <sz val="11"/>
        <color rgb="FFFF0000"/>
        <rFont val="Calibri"/>
        <family val="2"/>
        <scheme val="minor"/>
      </rPr>
      <t>have</t>
    </r>
    <r>
      <rPr>
        <sz val="11"/>
        <color rgb="FFFF0000"/>
        <rFont val="Calibri"/>
        <family val="2"/>
        <scheme val="minor"/>
      </rPr>
      <t xml:space="preserve"> one that can be used)?</t>
    </r>
  </si>
  <si>
    <r>
      <t xml:space="preserve">What proportion of the population are going to need a "wallet" ID for health? (if </t>
    </r>
    <r>
      <rPr>
        <b/>
        <sz val="11"/>
        <color rgb="FFFF0000"/>
        <rFont val="Calibri"/>
        <family val="2"/>
        <scheme val="minor"/>
      </rPr>
      <t>everyone</t>
    </r>
    <r>
      <rPr>
        <sz val="11"/>
        <color rgb="FFFF0000"/>
        <rFont val="Calibri"/>
        <family val="2"/>
        <scheme val="minor"/>
      </rPr>
      <t>, use 100%)</t>
    </r>
  </si>
  <si>
    <t>10-year total</t>
  </si>
  <si>
    <t>% of total</t>
  </si>
  <si>
    <t>Interaction costs ($)</t>
  </si>
  <si>
    <t>Database API costs ($)</t>
  </si>
  <si>
    <t>Data collection Interactions (#)</t>
  </si>
  <si>
    <t>Annual total health expenditure (per capita $)</t>
  </si>
  <si>
    <r>
      <t>Enter the per-capita total health expenditure (</t>
    </r>
    <r>
      <rPr>
        <b/>
        <sz val="11"/>
        <color rgb="FFFF0000"/>
        <rFont val="Calibri"/>
        <family val="2"/>
        <scheme val="minor"/>
      </rPr>
      <t>THE</t>
    </r>
    <r>
      <rPr>
        <sz val="11"/>
        <color rgb="FFFF0000"/>
        <rFont val="Calibri"/>
        <family val="2"/>
        <scheme val="minor"/>
      </rPr>
      <t>, e.g. from WB stats page)</t>
    </r>
  </si>
  <si>
    <r>
      <rPr>
        <sz val="11"/>
        <color rgb="FFFF0000"/>
        <rFont val="Calibri"/>
        <family val="2"/>
        <scheme val="minor"/>
      </rPr>
      <t xml:space="preserve">this is </t>
    </r>
    <r>
      <rPr>
        <b/>
        <sz val="11"/>
        <color rgb="FFFF0000"/>
        <rFont val="Calibri"/>
        <family val="2"/>
        <scheme val="minor"/>
      </rPr>
      <t>per capita</t>
    </r>
  </si>
  <si>
    <r>
      <t xml:space="preserve">As a reasonableness test, ICT spend in many OECD countries is </t>
    </r>
    <r>
      <rPr>
        <b/>
        <sz val="11"/>
        <color rgb="FFFF0000"/>
        <rFont val="Calibri"/>
        <family val="2"/>
        <scheme val="minor"/>
      </rPr>
      <t>2-5%</t>
    </r>
    <r>
      <rPr>
        <sz val="11"/>
        <color rgb="FFFF0000"/>
        <rFont val="Calibri"/>
        <family val="2"/>
        <scheme val="minor"/>
      </rPr>
      <t xml:space="preserve"> of total health expenditure (THE)</t>
    </r>
  </si>
  <si>
    <r>
      <t xml:space="preserve">2. Training regarding solution software use (each facility) </t>
    </r>
    <r>
      <rPr>
        <b/>
        <sz val="11"/>
        <color rgb="FFFF0000"/>
        <rFont val="Calibri"/>
        <family val="2"/>
        <scheme val="minor"/>
      </rPr>
      <t>NOTE: this cost is included in the per-facility costs on the SHR tab</t>
    </r>
  </si>
  <si>
    <t>Summary costs, including escalation</t>
  </si>
  <si>
    <t>Malaria</t>
  </si>
  <si>
    <t>Neonat. Disorders</t>
  </si>
  <si>
    <t>Diarrheal Dis.</t>
  </si>
  <si>
    <t>L. Resp. Infect.</t>
  </si>
  <si>
    <t>Total #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</si>
</sst>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0.0%"/>
    <numFmt numFmtId="169" formatCode="_(* #,##0_);_(* \(#,##0\);_(* &quot;-&quot;?_);_(@_)"/>
    <numFmt numFmtId="170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9" fontId="0" fillId="0" borderId="0" xfId="3" applyFont="1"/>
    <xf numFmtId="0" fontId="2" fillId="0" borderId="0" xfId="0" applyFont="1"/>
    <xf numFmtId="0" fontId="2" fillId="0" borderId="0" xfId="0" applyFont="1" applyAlignment="1">
      <alignment horizontal="right"/>
    </xf>
    <xf numFmtId="166" fontId="0" fillId="0" borderId="0" xfId="1" applyNumberFormat="1" applyFont="1"/>
    <xf numFmtId="166" fontId="2" fillId="0" borderId="1" xfId="1" applyNumberFormat="1" applyFont="1" applyBorder="1"/>
    <xf numFmtId="0" fontId="2" fillId="0" borderId="2" xfId="0" applyFont="1" applyBorder="1"/>
    <xf numFmtId="166" fontId="3" fillId="0" borderId="0" xfId="1" applyNumberFormat="1" applyFont="1"/>
    <xf numFmtId="9" fontId="3" fillId="0" borderId="0" xfId="3" applyFont="1"/>
    <xf numFmtId="0" fontId="3" fillId="0" borderId="0" xfId="0" applyFont="1"/>
    <xf numFmtId="167" fontId="3" fillId="0" borderId="0" xfId="2" applyNumberFormat="1" applyFont="1"/>
    <xf numFmtId="167" fontId="2" fillId="0" borderId="0" xfId="2" applyNumberFormat="1" applyFont="1"/>
    <xf numFmtId="167" fontId="2" fillId="0" borderId="1" xfId="2" applyNumberFormat="1" applyFont="1" applyBorder="1"/>
    <xf numFmtId="167" fontId="0" fillId="0" borderId="0" xfId="2" applyNumberFormat="1" applyFont="1"/>
    <xf numFmtId="167" fontId="2" fillId="0" borderId="0" xfId="0" applyNumberFormat="1" applyFont="1"/>
    <xf numFmtId="166" fontId="5" fillId="0" borderId="0" xfId="1" applyNumberFormat="1" applyFont="1"/>
    <xf numFmtId="167" fontId="2" fillId="0" borderId="0" xfId="2" applyNumberFormat="1" applyFont="1" applyBorder="1"/>
    <xf numFmtId="0" fontId="0" fillId="0" borderId="0" xfId="0" applyAlignment="1">
      <alignment horizontal="left" indent="1"/>
    </xf>
    <xf numFmtId="166" fontId="2" fillId="0" borderId="0" xfId="1" applyNumberFormat="1" applyFont="1" applyBorder="1"/>
    <xf numFmtId="0" fontId="2" fillId="2" borderId="2" xfId="0" applyFont="1" applyFill="1" applyBorder="1" applyAlignment="1">
      <alignment horizontal="right"/>
    </xf>
    <xf numFmtId="166" fontId="0" fillId="2" borderId="0" xfId="1" applyNumberFormat="1" applyFont="1" applyFill="1"/>
    <xf numFmtId="167" fontId="0" fillId="2" borderId="0" xfId="2" applyNumberFormat="1" applyFont="1" applyFill="1"/>
    <xf numFmtId="167" fontId="0" fillId="2" borderId="0" xfId="0" applyNumberFormat="1" applyFill="1"/>
    <xf numFmtId="166" fontId="4" fillId="0" borderId="0" xfId="1" applyNumberFormat="1" applyFont="1" applyFill="1"/>
    <xf numFmtId="0" fontId="2" fillId="3" borderId="2" xfId="0" applyFont="1" applyFill="1" applyBorder="1" applyAlignment="1">
      <alignment horizontal="right"/>
    </xf>
    <xf numFmtId="166" fontId="0" fillId="3" borderId="0" xfId="1" applyNumberFormat="1" applyFont="1" applyFill="1"/>
    <xf numFmtId="167" fontId="0" fillId="3" borderId="0" xfId="2" applyNumberFormat="1" applyFont="1" applyFill="1"/>
    <xf numFmtId="167" fontId="0" fillId="3" borderId="0" xfId="0" applyNumberFormat="1" applyFill="1"/>
    <xf numFmtId="0" fontId="2" fillId="4" borderId="2" xfId="0" applyFont="1" applyFill="1" applyBorder="1" applyAlignment="1">
      <alignment horizontal="right"/>
    </xf>
    <xf numFmtId="166" fontId="0" fillId="4" borderId="0" xfId="1" applyNumberFormat="1" applyFont="1" applyFill="1"/>
    <xf numFmtId="167" fontId="0" fillId="4" borderId="0" xfId="2" applyNumberFormat="1" applyFont="1" applyFill="1"/>
    <xf numFmtId="167" fontId="0" fillId="4" borderId="0" xfId="0" applyNumberFormat="1" applyFill="1"/>
    <xf numFmtId="0" fontId="2" fillId="5" borderId="2" xfId="0" applyFont="1" applyFill="1" applyBorder="1" applyAlignment="1">
      <alignment horizontal="right"/>
    </xf>
    <xf numFmtId="166" fontId="0" fillId="5" borderId="0" xfId="1" applyNumberFormat="1" applyFont="1" applyFill="1"/>
    <xf numFmtId="167" fontId="0" fillId="5" borderId="0" xfId="2" applyNumberFormat="1" applyFont="1" applyFill="1"/>
    <xf numFmtId="167" fontId="0" fillId="5" borderId="0" xfId="0" applyNumberFormat="1" applyFill="1"/>
    <xf numFmtId="167" fontId="0" fillId="0" borderId="0" xfId="0" applyNumberFormat="1"/>
    <xf numFmtId="168" fontId="4" fillId="0" borderId="0" xfId="3" applyNumberFormat="1" applyFont="1" applyFill="1"/>
    <xf numFmtId="166" fontId="4" fillId="0" borderId="0" xfId="1" applyNumberFormat="1" applyFont="1"/>
    <xf numFmtId="166" fontId="2" fillId="0" borderId="0" xfId="1" applyNumberFormat="1" applyFont="1"/>
    <xf numFmtId="9" fontId="4" fillId="0" borderId="0" xfId="3" applyFont="1"/>
    <xf numFmtId="167" fontId="1" fillId="0" borderId="0" xfId="2" applyNumberFormat="1" applyFont="1"/>
    <xf numFmtId="168" fontId="0" fillId="0" borderId="0" xfId="3" applyNumberFormat="1" applyFont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165" fontId="0" fillId="0" borderId="0" xfId="0" applyNumberFormat="1"/>
    <xf numFmtId="167" fontId="2" fillId="0" borderId="1" xfId="0" applyNumberFormat="1" applyFont="1" applyBorder="1"/>
    <xf numFmtId="0" fontId="2" fillId="0" borderId="2" xfId="0" applyFont="1" applyBorder="1" applyAlignment="1">
      <alignment horizontal="right"/>
    </xf>
    <xf numFmtId="164" fontId="0" fillId="0" borderId="0" xfId="2" applyFont="1"/>
    <xf numFmtId="165" fontId="0" fillId="0" borderId="0" xfId="1" applyFont="1"/>
    <xf numFmtId="168" fontId="5" fillId="0" borderId="0" xfId="3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8" fontId="4" fillId="0" borderId="0" xfId="3" applyNumberFormat="1" applyFont="1"/>
    <xf numFmtId="10" fontId="2" fillId="0" borderId="0" xfId="3" applyNumberFormat="1" applyFont="1"/>
    <xf numFmtId="0" fontId="0" fillId="0" borderId="0" xfId="0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1" xfId="0" applyBorder="1"/>
    <xf numFmtId="0" fontId="2" fillId="0" borderId="3" xfId="0" applyFont="1" applyBorder="1"/>
    <xf numFmtId="167" fontId="0" fillId="0" borderId="0" xfId="2" applyNumberFormat="1" applyFont="1" applyBorder="1"/>
    <xf numFmtId="167" fontId="4" fillId="0" borderId="0" xfId="2" applyNumberFormat="1" applyFont="1"/>
    <xf numFmtId="0" fontId="6" fillId="0" borderId="1" xfId="0" applyFont="1" applyBorder="1" applyAlignment="1">
      <alignment horizontal="right"/>
    </xf>
    <xf numFmtId="167" fontId="0" fillId="0" borderId="0" xfId="2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6" xfId="0" applyBorder="1"/>
    <xf numFmtId="167" fontId="0" fillId="0" borderId="6" xfId="0" applyNumberFormat="1" applyBorder="1"/>
    <xf numFmtId="0" fontId="5" fillId="0" borderId="6" xfId="0" applyFont="1" applyBorder="1"/>
    <xf numFmtId="167" fontId="0" fillId="0" borderId="7" xfId="0" applyNumberFormat="1" applyBorder="1"/>
    <xf numFmtId="167" fontId="2" fillId="0" borderId="4" xfId="0" applyNumberFormat="1" applyFont="1" applyBorder="1"/>
    <xf numFmtId="166" fontId="0" fillId="0" borderId="0" xfId="0" applyNumberFormat="1"/>
    <xf numFmtId="166" fontId="2" fillId="0" borderId="1" xfId="0" applyNumberFormat="1" applyFont="1" applyBorder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7" fillId="0" borderId="0" xfId="0" applyFont="1"/>
    <xf numFmtId="166" fontId="2" fillId="0" borderId="0" xfId="0" applyNumberFormat="1" applyFont="1"/>
    <xf numFmtId="170" fontId="2" fillId="0" borderId="0" xfId="1" applyNumberFormat="1" applyFont="1"/>
    <xf numFmtId="170" fontId="2" fillId="0" borderId="0" xfId="0" applyNumberFormat="1" applyFont="1"/>
    <xf numFmtId="168" fontId="0" fillId="0" borderId="0" xfId="0" applyNumberFormat="1" applyAlignment="1">
      <alignment horizontal="right"/>
    </xf>
    <xf numFmtId="167" fontId="3" fillId="7" borderId="8" xfId="2" applyNumberFormat="1" applyFont="1" applyFill="1" applyBorder="1"/>
    <xf numFmtId="0" fontId="9" fillId="0" borderId="0" xfId="0" applyFont="1"/>
    <xf numFmtId="167" fontId="0" fillId="0" borderId="0" xfId="2" applyNumberFormat="1" applyFont="1" applyFill="1"/>
    <xf numFmtId="167" fontId="3" fillId="0" borderId="2" xfId="2" applyNumberFormat="1" applyFont="1" applyFill="1" applyBorder="1"/>
    <xf numFmtId="166" fontId="3" fillId="0" borderId="2" xfId="1" applyNumberFormat="1" applyFont="1" applyFill="1" applyBorder="1"/>
    <xf numFmtId="0" fontId="6" fillId="0" borderId="0" xfId="0" applyFont="1" applyAlignment="1">
      <alignment horizontal="left" indent="1"/>
    </xf>
    <xf numFmtId="166" fontId="6" fillId="0" borderId="0" xfId="1" applyNumberFormat="1" applyFont="1"/>
    <xf numFmtId="167" fontId="2" fillId="2" borderId="0" xfId="0" applyNumberFormat="1" applyFont="1" applyFill="1"/>
    <xf numFmtId="9" fontId="2" fillId="2" borderId="0" xfId="3" applyFont="1" applyFill="1"/>
    <xf numFmtId="164" fontId="3" fillId="7" borderId="8" xfId="2" applyFont="1" applyFill="1" applyBorder="1"/>
    <xf numFmtId="9" fontId="3" fillId="7" borderId="8" xfId="3" applyFont="1" applyFill="1" applyBorder="1"/>
    <xf numFmtId="167" fontId="3" fillId="7" borderId="9" xfId="2" applyNumberFormat="1" applyFont="1" applyFill="1" applyBorder="1"/>
    <xf numFmtId="166" fontId="3" fillId="7" borderId="8" xfId="1" applyNumberFormat="1" applyFont="1" applyFill="1" applyBorder="1"/>
    <xf numFmtId="0" fontId="3" fillId="7" borderId="8" xfId="0" applyFont="1" applyFill="1" applyBorder="1" applyAlignment="1">
      <alignment horizontal="right"/>
    </xf>
    <xf numFmtId="167" fontId="3" fillId="7" borderId="8" xfId="2" applyNumberFormat="1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2" fillId="6" borderId="0" xfId="0" applyFont="1" applyFill="1" applyAlignment="1">
      <alignment horizontal="right"/>
    </xf>
    <xf numFmtId="0" fontId="3" fillId="7" borderId="8" xfId="0" applyFont="1" applyFill="1" applyBorder="1"/>
    <xf numFmtId="168" fontId="3" fillId="7" borderId="8" xfId="3" applyNumberFormat="1" applyFont="1" applyFill="1" applyBorder="1"/>
    <xf numFmtId="169" fontId="3" fillId="7" borderId="8" xfId="0" applyNumberFormat="1" applyFont="1" applyFill="1" applyBorder="1"/>
    <xf numFmtId="10" fontId="3" fillId="7" borderId="8" xfId="3" applyNumberFormat="1" applyFont="1" applyFill="1" applyBorder="1"/>
    <xf numFmtId="0" fontId="2" fillId="2" borderId="0" xfId="0" applyFont="1" applyFill="1" applyAlignment="1">
      <alignment horizontal="right"/>
    </xf>
    <xf numFmtId="167" fontId="2" fillId="2" borderId="3" xfId="0" applyNumberFormat="1" applyFont="1" applyFill="1" applyBorder="1"/>
    <xf numFmtId="9" fontId="2" fillId="2" borderId="0" xfId="3" applyFont="1" applyFill="1" applyBorder="1"/>
    <xf numFmtId="9" fontId="2" fillId="2" borderId="0" xfId="0" applyNumberFormat="1" applyFont="1" applyFill="1"/>
    <xf numFmtId="167" fontId="2" fillId="2" borderId="1" xfId="2" applyNumberFormat="1" applyFont="1" applyFill="1" applyBorder="1"/>
    <xf numFmtId="168" fontId="0" fillId="2" borderId="0" xfId="3" applyNumberFormat="1" applyFont="1" applyFill="1"/>
    <xf numFmtId="168" fontId="0" fillId="2" borderId="0" xfId="0" applyNumberFormat="1" applyFill="1"/>
    <xf numFmtId="166" fontId="2" fillId="2" borderId="0" xfId="1" applyNumberFormat="1" applyFont="1" applyFill="1" applyBorder="1"/>
    <xf numFmtId="166" fontId="2" fillId="3" borderId="0" xfId="1" applyNumberFormat="1" applyFont="1" applyFill="1"/>
    <xf numFmtId="166" fontId="2" fillId="4" borderId="0" xfId="1" applyNumberFormat="1" applyFont="1" applyFill="1"/>
    <xf numFmtId="166" fontId="2" fillId="5" borderId="0" xfId="1" applyNumberFormat="1" applyFont="1" applyFill="1"/>
    <xf numFmtId="167" fontId="0" fillId="0" borderId="1" xfId="2" applyNumberFormat="1" applyFont="1" applyBorder="1"/>
    <xf numFmtId="167" fontId="0" fillId="0" borderId="11" xfId="2" applyNumberFormat="1" applyFont="1" applyBorder="1"/>
    <xf numFmtId="167" fontId="0" fillId="2" borderId="12" xfId="0" applyNumberFormat="1" applyFill="1" applyBorder="1"/>
    <xf numFmtId="167" fontId="0" fillId="3" borderId="12" xfId="0" applyNumberFormat="1" applyFill="1" applyBorder="1"/>
    <xf numFmtId="167" fontId="0" fillId="4" borderId="12" xfId="0" applyNumberFormat="1" applyFill="1" applyBorder="1"/>
    <xf numFmtId="167" fontId="0" fillId="5" borderId="2" xfId="0" applyNumberFormat="1" applyFill="1" applyBorder="1"/>
    <xf numFmtId="167" fontId="0" fillId="5" borderId="14" xfId="0" applyNumberFormat="1" applyFill="1" applyBorder="1"/>
    <xf numFmtId="166" fontId="0" fillId="0" borderId="0" xfId="1" applyNumberFormat="1" applyFont="1" applyAlignment="1">
      <alignment horizontal="right"/>
    </xf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right"/>
    </xf>
    <xf numFmtId="167" fontId="2" fillId="9" borderId="0" xfId="3" applyNumberFormat="1" applyFont="1" applyFill="1"/>
    <xf numFmtId="9" fontId="2" fillId="9" borderId="0" xfId="3" applyFont="1" applyFill="1"/>
    <xf numFmtId="0" fontId="0" fillId="0" borderId="0" xfId="0" applyAlignment="1">
      <alignment horizontal="right" indent="1"/>
    </xf>
    <xf numFmtId="0" fontId="2" fillId="8" borderId="0" xfId="0" applyFont="1" applyFill="1" applyAlignment="1">
      <alignment horizontal="right"/>
    </xf>
    <xf numFmtId="0" fontId="0" fillId="0" borderId="10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5" borderId="13" xfId="0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CUA!$A$30</c:f>
              <c:strCache>
                <c:ptCount val="1"/>
                <c:pt idx="0">
                  <c:v>CET / Running Cost per QALY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CUA!$B$30:$K$30</c:f>
              <c:numCache>
                <c:formatCode>_(* #,##0.00_);_(* \(#,##0.00\);_(* "-"??_);_(@_)</c:formatCode>
                <c:ptCount val="10"/>
                <c:pt idx="0">
                  <c:v>1.0964234154240392E-4</c:v>
                </c:pt>
                <c:pt idx="1">
                  <c:v>6.563047702273706E-5</c:v>
                </c:pt>
                <c:pt idx="2">
                  <c:v>4.6089530867968398E-5</c:v>
                </c:pt>
                <c:pt idx="3">
                  <c:v>3.3707049720861611E-5</c:v>
                </c:pt>
                <c:pt idx="4">
                  <c:v>3.2517928927534183</c:v>
                </c:pt>
                <c:pt idx="5">
                  <c:v>5.3716849798013468</c:v>
                </c:pt>
                <c:pt idx="6">
                  <c:v>6.8739920059123483</c:v>
                </c:pt>
                <c:pt idx="7">
                  <c:v>7.8979830919203007</c:v>
                </c:pt>
                <c:pt idx="8">
                  <c:v>8.5763345105676105</c:v>
                </c:pt>
                <c:pt idx="9">
                  <c:v>8.9594272778054425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1-4F7C-B484-789C4EC5A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432959"/>
        <c:axId val="547198223"/>
      </c:lineChart>
      <c:catAx>
        <c:axId val="55743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28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198223"/>
        <c:crosses val="autoZero"/>
        <c:auto val="1"/>
        <c:lblAlgn val="ctr"/>
        <c:lblOffset val="100"/>
        <c:noMultiLvlLbl val="0"/>
      </c:catAx>
      <c:valAx>
        <c:axId val="54719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2800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3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6CB8CC-A0B3-4008-95D6-2BC84AD8883F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496B5-6056-499A-A333-46C71E7462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0.15959</cdr:x>
      <cdr:y>0.47598</cdr:y>
    </cdr:from>
    <cdr:to>
      <cdr:x>0.96616</cdr:x>
      <cdr:y>0.47728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9C60939-6204-4740-9083-009B2759A84B}"/>
            </a:ext>
          </a:extLst>
        </cdr:cNvPr>
        <cdr:cNvCxnSpPr/>
      </cdr:nvCxnSpPr>
      <cdr:spPr>
        <a:xfrm xmlns:a="http://schemas.openxmlformats.org/drawingml/2006/main">
          <a:off x="1383303" y="2996779"/>
          <a:ext cx="6991147" cy="8185"/>
        </a:xfrm>
        <a:prstGeom xmlns:a="http://schemas.openxmlformats.org/drawingml/2006/main" prst="line">
          <a:avLst/>
        </a:prstGeom>
        <a:ln xmlns:a="http://schemas.openxmlformats.org/drawingml/2006/main" w="5715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0.72919</cdr:x>
      <cdr:y>0.41736</cdr:y>
    </cdr:from>
    <cdr:to>
      <cdr:x>0.98459</cdr:x>
      <cdr:y>0.56266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17A6CB-4E8E-4A11-B5F3-450B4AC37069}"/>
            </a:ext>
          </a:extLst>
        </cdr:cNvPr>
        <cdr:cNvSpPr txBox="1"/>
      </cdr:nvSpPr>
      <cdr:spPr>
        <a:xfrm xmlns:a="http://schemas.openxmlformats.org/drawingml/2006/main">
          <a:off x="6320437" y="2627706"/>
          <a:ext cx="2213743" cy="9148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CA" sz="1400" b="1">
              <a:solidFill>
                <a:srgbClr val="FF0000"/>
              </a:solidFill>
            </a:rPr>
            <a:t>Cost-effective</a:t>
          </a:r>
        </a:p>
        <a:p xmlns:a="http://schemas.openxmlformats.org/drawingml/2006/main">
          <a:pPr algn="r"/>
          <a:endParaRPr lang="en-CA" sz="1400" b="1">
            <a:solidFill>
              <a:srgbClr val="FF0000"/>
            </a:solidFill>
          </a:endParaRPr>
        </a:p>
        <a:p xmlns:a="http://schemas.openxmlformats.org/drawingml/2006/main">
          <a:pPr algn="r"/>
          <a:r>
            <a:rPr lang="en-CA" sz="1400" b="1">
              <a:solidFill>
                <a:srgbClr val="FF0000"/>
              </a:solidFill>
            </a:rPr>
            <a:t>Not cost-effective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3"/>
  <sheetViews>
    <sheetView tabSelected="1" zoomScaleNormal="100" workbookViewId="0">
      <selection activeCell="A14" sqref="A14:M26"/>
    </sheetView>
  </sheetViews>
  <sheetFormatPr defaultRowHeight="15" x14ac:dyDescent="0.25"/>
  <cols>
    <col min="1" max="1" width="41.85546875" style="57" customWidth="1"/>
    <col min="2" max="12" width="14.7109375" customWidth="1"/>
  </cols>
  <sheetData>
    <row r="2" spans="1:13" x14ac:dyDescent="0.25">
      <c r="A2" s="57" t="s">
        <v>0</v>
      </c>
      <c r="B2" s="101">
        <v>0.09</v>
      </c>
      <c r="C2" s="53" t="s">
        <v>1</v>
      </c>
    </row>
    <row r="3" spans="1:13" x14ac:dyDescent="0.25">
      <c r="B3" s="8"/>
      <c r="C3" s="43" t="s">
        <v>2</v>
      </c>
      <c r="D3" s="44" t="s">
        <v>3</v>
      </c>
      <c r="E3" s="45" t="s">
        <v>4</v>
      </c>
      <c r="F3" s="46" t="s">
        <v>5</v>
      </c>
      <c r="G3" s="53" t="s">
        <v>251</v>
      </c>
    </row>
    <row r="4" spans="1:13" x14ac:dyDescent="0.25">
      <c r="B4" s="9"/>
      <c r="C4" s="52">
        <f>C5/B5</f>
        <v>5.2114353782013101E-3</v>
      </c>
      <c r="D4" s="52">
        <f>D5/B5</f>
        <v>1.4740917212626563E-2</v>
      </c>
      <c r="E4" s="52">
        <f>E5/B5</f>
        <v>0.1841870160810006</v>
      </c>
      <c r="F4" s="42">
        <f>F5/B5</f>
        <v>0.79586063132817153</v>
      </c>
    </row>
    <row r="5" spans="1:13" x14ac:dyDescent="0.25">
      <c r="A5" s="57" t="s">
        <v>273</v>
      </c>
      <c r="B5" s="15">
        <f>C5+D5+E5+F5</f>
        <v>6716</v>
      </c>
      <c r="C5" s="102">
        <v>35</v>
      </c>
      <c r="D5" s="102">
        <v>99</v>
      </c>
      <c r="E5" s="102">
        <v>1237</v>
      </c>
      <c r="F5" s="102">
        <v>5345</v>
      </c>
      <c r="G5" s="78" t="s">
        <v>6</v>
      </c>
    </row>
    <row r="6" spans="1:13" x14ac:dyDescent="0.25">
      <c r="A6" s="57" t="s">
        <v>249</v>
      </c>
      <c r="B6" s="101">
        <v>2.5000000000000001E-2</v>
      </c>
      <c r="C6" s="53" t="s">
        <v>7</v>
      </c>
    </row>
    <row r="7" spans="1:13" x14ac:dyDescent="0.25">
      <c r="A7" s="57" t="s">
        <v>252</v>
      </c>
      <c r="B7" s="95">
        <v>15100000</v>
      </c>
      <c r="C7" s="78" t="s">
        <v>8</v>
      </c>
    </row>
    <row r="8" spans="1:13" x14ac:dyDescent="0.25">
      <c r="A8" s="57" t="s">
        <v>253</v>
      </c>
      <c r="B8" s="101">
        <v>2.5000000000000001E-2</v>
      </c>
    </row>
    <row r="9" spans="1:13" x14ac:dyDescent="0.25">
      <c r="A9" s="57" t="s">
        <v>9</v>
      </c>
      <c r="B9" s="95">
        <v>20605</v>
      </c>
      <c r="C9" s="78" t="s">
        <v>10</v>
      </c>
    </row>
    <row r="10" spans="1:13" x14ac:dyDescent="0.25">
      <c r="A10" s="57" t="s">
        <v>250</v>
      </c>
      <c r="B10" s="101">
        <v>2.5000000000000001E-2</v>
      </c>
      <c r="C10" s="53" t="s">
        <v>11</v>
      </c>
    </row>
    <row r="11" spans="1:13" x14ac:dyDescent="0.25">
      <c r="B11" s="40"/>
    </row>
    <row r="12" spans="1:13" x14ac:dyDescent="0.25">
      <c r="A12" s="3" t="s">
        <v>12</v>
      </c>
      <c r="B12" s="65">
        <f>Governance!F38</f>
        <v>445000</v>
      </c>
      <c r="C12" s="53" t="s">
        <v>13</v>
      </c>
    </row>
    <row r="14" spans="1:13" x14ac:dyDescent="0.25">
      <c r="A14" s="3" t="s">
        <v>14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19" t="s">
        <v>15</v>
      </c>
    </row>
    <row r="15" spans="1:13" x14ac:dyDescent="0.25">
      <c r="A15" s="57" t="s">
        <v>16</v>
      </c>
      <c r="B15" s="64">
        <f>Governance!G35</f>
        <v>165000</v>
      </c>
      <c r="C15" s="64">
        <f>Governance!H35</f>
        <v>179850</v>
      </c>
      <c r="D15" s="64">
        <f>Governance!I35</f>
        <v>196036.50000000003</v>
      </c>
      <c r="E15" s="64">
        <f>Governance!J35</f>
        <v>213679.78500000003</v>
      </c>
      <c r="F15" s="64">
        <f>Governance!K35</f>
        <v>628153.81645000016</v>
      </c>
      <c r="G15" s="64">
        <f>Governance!L35</f>
        <v>253872.95255850008</v>
      </c>
      <c r="H15" s="64">
        <f>Governance!M35</f>
        <v>276721.5182887651</v>
      </c>
      <c r="I15" s="64">
        <f>Governance!N35</f>
        <v>301626.45493475394</v>
      </c>
      <c r="J15" s="64">
        <f>Governance!O35</f>
        <v>328772.83587888186</v>
      </c>
      <c r="K15" s="64">
        <f>Governance!P35</f>
        <v>966492.50935182825</v>
      </c>
      <c r="L15" s="90">
        <f>SUM(B15:K15)</f>
        <v>3510206.372462729</v>
      </c>
      <c r="M15" s="109">
        <f t="shared" ref="M15:M23" ca="1" si="0">L15/$L$24</f>
        <v>2.5789494627855212E-2</v>
      </c>
    </row>
    <row r="16" spans="1:13" x14ac:dyDescent="0.25">
      <c r="A16" s="57" t="s">
        <v>17</v>
      </c>
      <c r="B16" s="41">
        <f>Datacentre!B33</f>
        <v>740000</v>
      </c>
      <c r="C16" s="41">
        <f>Datacentre!C33</f>
        <v>261600.00000000003</v>
      </c>
      <c r="D16" s="41">
        <f>Datacentre!D33</f>
        <v>285144.00000000006</v>
      </c>
      <c r="E16" s="41">
        <f>Datacentre!E33</f>
        <v>310806.96000000002</v>
      </c>
      <c r="F16" s="41">
        <f>Datacentre!F33</f>
        <v>338779.58640000009</v>
      </c>
      <c r="G16" s="41">
        <f>Datacentre!G33</f>
        <v>369269.74917600013</v>
      </c>
      <c r="H16" s="41">
        <f>Datacentre!H33</f>
        <v>402504.02660184016</v>
      </c>
      <c r="I16" s="41">
        <f>Datacentre!I33</f>
        <v>438729.38899600576</v>
      </c>
      <c r="J16" s="41">
        <f>Datacentre!J33</f>
        <v>478215.0340056463</v>
      </c>
      <c r="K16" s="41">
        <f>Datacentre!K33</f>
        <v>521254.38706615451</v>
      </c>
      <c r="L16" s="90">
        <f>SUM(B16:K16)</f>
        <v>4146303.1322456468</v>
      </c>
      <c r="M16" s="109">
        <f t="shared" ca="1" si="0"/>
        <v>3.0462899045871905E-2</v>
      </c>
    </row>
    <row r="17" spans="1:13" x14ac:dyDescent="0.25">
      <c r="A17" s="57" t="s">
        <v>18</v>
      </c>
      <c r="B17" s="41">
        <f>CR!B27</f>
        <v>2029225</v>
      </c>
      <c r="C17" s="41">
        <f ca="1">CR!C27</f>
        <v>931444.78500000003</v>
      </c>
      <c r="D17" s="41">
        <f ca="1">CR!D27</f>
        <v>1016223.4095412502</v>
      </c>
      <c r="E17" s="41">
        <f ca="1">CR!E27</f>
        <v>1108743.3329249618</v>
      </c>
      <c r="F17" s="41">
        <f ca="1">CR!F27</f>
        <v>1209714.3129007635</v>
      </c>
      <c r="G17" s="41">
        <f ca="1">CR!G27</f>
        <v>2522230.7384135928</v>
      </c>
      <c r="H17" s="41">
        <f ca="1">CR!H27</f>
        <v>1484815.4988212585</v>
      </c>
      <c r="I17" s="41">
        <f ca="1">CR!I27</f>
        <v>1621316.4915384559</v>
      </c>
      <c r="J17" s="41">
        <f ca="1">CR!J27</f>
        <v>1770438.7994449816</v>
      </c>
      <c r="K17" s="41">
        <f ca="1">CR!K27</f>
        <v>1933357.7633881741</v>
      </c>
      <c r="L17" s="90">
        <f t="shared" ref="L17:L23" ca="1" si="1">SUM(B17:K17)</f>
        <v>15627510.131973438</v>
      </c>
      <c r="M17" s="109">
        <f t="shared" ca="1" si="0"/>
        <v>0.11481535437830193</v>
      </c>
    </row>
    <row r="18" spans="1:13" x14ac:dyDescent="0.25">
      <c r="A18" s="57" t="s">
        <v>19</v>
      </c>
      <c r="B18" s="41">
        <f>'ILR-FR'!B18</f>
        <v>87160</v>
      </c>
      <c r="C18" s="41">
        <f>'ILR-FR'!C18</f>
        <v>78304.510000000009</v>
      </c>
      <c r="D18" s="41">
        <f>'ILR-FR'!D18</f>
        <v>87396.60629750001</v>
      </c>
      <c r="E18" s="41">
        <f>'ILR-FR'!E18</f>
        <v>97546.731210881859</v>
      </c>
      <c r="F18" s="41">
        <f>'ILR-FR'!F18</f>
        <v>108878.21682460776</v>
      </c>
      <c r="G18" s="41">
        <f>'ILR-FR'!G18</f>
        <v>121528.79095067554</v>
      </c>
      <c r="H18" s="41">
        <f>'ILR-FR'!H18</f>
        <v>135652.25918132917</v>
      </c>
      <c r="I18" s="41">
        <f>'ILR-FR'!I18</f>
        <v>151420.38363627874</v>
      </c>
      <c r="J18" s="41">
        <f>'ILR-FR'!J18</f>
        <v>169024.98141950564</v>
      </c>
      <c r="K18" s="41">
        <f>'ILR-FR'!K18</f>
        <v>188680.26849498454</v>
      </c>
      <c r="L18" s="90">
        <f t="shared" si="1"/>
        <v>1225592.7480157632</v>
      </c>
      <c r="M18" s="109">
        <f t="shared" ca="1" si="0"/>
        <v>9.0044328558139316E-3</v>
      </c>
    </row>
    <row r="19" spans="1:13" x14ac:dyDescent="0.25">
      <c r="A19" s="57" t="s">
        <v>20</v>
      </c>
      <c r="B19" s="41">
        <f>'ILR-HWR'!B18</f>
        <v>287260</v>
      </c>
      <c r="C19" s="41">
        <f>'ILR-HWR'!C18</f>
        <v>282791.23499999993</v>
      </c>
      <c r="D19" s="41">
        <f>'ILR-HWR'!D18</f>
        <v>315770.29230374994</v>
      </c>
      <c r="E19" s="41">
        <f>'ILR-HWR'!E18</f>
        <v>352600.1047263646</v>
      </c>
      <c r="F19" s="41">
        <f>'ILR-HWR'!F18</f>
        <v>393730.7297640309</v>
      </c>
      <c r="G19" s="41">
        <f>'ILR-HWR'!G18</f>
        <v>439664.86423562851</v>
      </c>
      <c r="H19" s="41">
        <f>'ILR-HWR'!H18</f>
        <v>490964.00455062982</v>
      </c>
      <c r="I19" s="41">
        <f>'ILR-HWR'!I18</f>
        <v>548255.32821606856</v>
      </c>
      <c r="J19" s="41">
        <f>'ILR-HWR'!J18</f>
        <v>612239.38105314923</v>
      </c>
      <c r="K19" s="41">
        <f>'ILR-HWR'!K18</f>
        <v>683698.66448971455</v>
      </c>
      <c r="L19" s="90">
        <f t="shared" si="1"/>
        <v>4406974.604339336</v>
      </c>
      <c r="M19" s="109">
        <f t="shared" ca="1" si="0"/>
        <v>3.2378052975832669E-2</v>
      </c>
    </row>
    <row r="20" spans="1:13" x14ac:dyDescent="0.25">
      <c r="A20" s="57" t="s">
        <v>21</v>
      </c>
      <c r="B20" s="13">
        <f>SHR!B53</f>
        <v>4387087.5</v>
      </c>
      <c r="C20" s="13">
        <f>SHR!C53</f>
        <v>5930994.5187499989</v>
      </c>
      <c r="D20" s="13">
        <f>SHR!D53</f>
        <v>6683198.9551414046</v>
      </c>
      <c r="E20" s="13">
        <f>SHR!E53</f>
        <v>8720805.0790094845</v>
      </c>
      <c r="F20" s="13">
        <f>SHR!F53</f>
        <v>6394314.0440998552</v>
      </c>
      <c r="G20" s="13">
        <f>SHR!G53</f>
        <v>7142604.9058128474</v>
      </c>
      <c r="H20" s="13">
        <f>SHR!H53</f>
        <v>7978503.0496654883</v>
      </c>
      <c r="I20" s="13">
        <f>SHR!I53</f>
        <v>8912268.7455630004</v>
      </c>
      <c r="J20" s="13">
        <f>SHR!J53</f>
        <v>9955364.2285036817</v>
      </c>
      <c r="K20" s="13">
        <f>SHR!K53</f>
        <v>11120594.53434626</v>
      </c>
      <c r="L20" s="90">
        <f t="shared" si="1"/>
        <v>77225735.560892016</v>
      </c>
      <c r="M20" s="109">
        <f t="shared" ca="1" si="0"/>
        <v>0.56737766417491131</v>
      </c>
    </row>
    <row r="21" spans="1:13" x14ac:dyDescent="0.25">
      <c r="A21" s="57" t="s">
        <v>22</v>
      </c>
      <c r="B21" s="13">
        <f>TS!B18</f>
        <v>290000</v>
      </c>
      <c r="C21" s="13">
        <f>TS!C18</f>
        <v>84475</v>
      </c>
      <c r="D21" s="13">
        <f>TS!D18</f>
        <v>92077.750000000015</v>
      </c>
      <c r="E21" s="13">
        <f>TS!E18</f>
        <v>100364.74750000003</v>
      </c>
      <c r="F21" s="13">
        <f>TS!F18</f>
        <v>109397.57477500002</v>
      </c>
      <c r="G21" s="13">
        <f>TS!G18</f>
        <v>119243.35650475003</v>
      </c>
      <c r="H21" s="13">
        <f>TS!H18</f>
        <v>129975.25859017755</v>
      </c>
      <c r="I21" s="13">
        <f>TS!I18</f>
        <v>141673.03186329352</v>
      </c>
      <c r="J21" s="13">
        <f>TS!J18</f>
        <v>154423.60473098996</v>
      </c>
      <c r="K21" s="13">
        <f>TS!K18</f>
        <v>168321.72915677907</v>
      </c>
      <c r="L21" s="90">
        <f t="shared" si="1"/>
        <v>1389952.0531209903</v>
      </c>
      <c r="M21" s="109">
        <f t="shared" ca="1" si="0"/>
        <v>1.0211981064176224E-2</v>
      </c>
    </row>
    <row r="22" spans="1:13" x14ac:dyDescent="0.25">
      <c r="A22" s="57" t="s">
        <v>23</v>
      </c>
      <c r="B22" s="13">
        <f>HMIS!B18</f>
        <v>855920</v>
      </c>
      <c r="C22" s="13">
        <f>HMIS!C18</f>
        <v>908589.12</v>
      </c>
      <c r="D22" s="13">
        <f>HMIS!D18</f>
        <v>1014898.42557</v>
      </c>
      <c r="E22" s="13">
        <f>HMIS!E18</f>
        <v>1133652.4480305826</v>
      </c>
      <c r="F22" s="13">
        <f>HMIS!F18</f>
        <v>1266308.526010293</v>
      </c>
      <c r="G22" s="13">
        <f>HMIS!G18</f>
        <v>1414494.7086934564</v>
      </c>
      <c r="H22" s="13">
        <f>HMIS!H18</f>
        <v>1580029.7570169815</v>
      </c>
      <c r="I22" s="13">
        <f>HMIS!I18</f>
        <v>1764945.488692069</v>
      </c>
      <c r="J22" s="13">
        <f>HMIS!J18</f>
        <v>1971511.7417458973</v>
      </c>
      <c r="K22" s="13">
        <f>HMIS!K18</f>
        <v>2202264.2634757082</v>
      </c>
      <c r="L22" s="90">
        <f t="shared" si="1"/>
        <v>14112614.479234988</v>
      </c>
      <c r="M22" s="109">
        <f t="shared" ca="1" si="0"/>
        <v>0.10368541238840991</v>
      </c>
    </row>
    <row r="23" spans="1:13" x14ac:dyDescent="0.25">
      <c r="A23" s="57" t="s">
        <v>24</v>
      </c>
      <c r="B23" s="13">
        <f>'HRH Capacity'!B25</f>
        <v>5751250</v>
      </c>
      <c r="C23" s="13">
        <f>'HRH Capacity'!C25</f>
        <v>1127966.0624999991</v>
      </c>
      <c r="D23" s="13">
        <f>'HRH Capacity'!D25</f>
        <v>645378.33332812483</v>
      </c>
      <c r="E23" s="13">
        <f>'HRH Capacity'!E25</f>
        <v>714573.79791084712</v>
      </c>
      <c r="F23" s="13">
        <f>'HRH Capacity'!F25</f>
        <v>791299.66766589438</v>
      </c>
      <c r="G23" s="13">
        <f>'HRH Capacity'!G25</f>
        <v>876386.43392522028</v>
      </c>
      <c r="H23" s="13">
        <f>'HRH Capacity'!H25</f>
        <v>970757.24274874653</v>
      </c>
      <c r="I23" s="13">
        <f>'HRH Capacity'!I25</f>
        <v>1075438.3338569545</v>
      </c>
      <c r="J23" s="13">
        <f>'HRH Capacity'!J25</f>
        <v>1191570.6652932311</v>
      </c>
      <c r="K23" s="13">
        <f>'HRH Capacity'!K25</f>
        <v>1320422.8594016517</v>
      </c>
      <c r="L23" s="90">
        <f t="shared" si="1"/>
        <v>14465043.396630671</v>
      </c>
      <c r="M23" s="109">
        <f t="shared" ca="1" si="0"/>
        <v>0.10627470848882695</v>
      </c>
    </row>
    <row r="24" spans="1:13" x14ac:dyDescent="0.25">
      <c r="A24" s="3" t="s">
        <v>25</v>
      </c>
      <c r="B24" s="12">
        <f t="shared" ref="B24:K24" si="2">SUM(B15:B23)</f>
        <v>14592902.5</v>
      </c>
      <c r="C24" s="12">
        <f t="shared" ca="1" si="2"/>
        <v>9786015.2312499993</v>
      </c>
      <c r="D24" s="12">
        <f t="shared" ca="1" si="2"/>
        <v>10336124.272182029</v>
      </c>
      <c r="E24" s="12">
        <f t="shared" ca="1" si="2"/>
        <v>12752772.986313123</v>
      </c>
      <c r="F24" s="12">
        <f t="shared" ca="1" si="2"/>
        <v>11240576.474890444</v>
      </c>
      <c r="G24" s="12">
        <f t="shared" ca="1" si="2"/>
        <v>13259296.50027067</v>
      </c>
      <c r="H24" s="12">
        <f t="shared" ca="1" si="2"/>
        <v>13449922.615465216</v>
      </c>
      <c r="I24" s="12">
        <f t="shared" ca="1" si="2"/>
        <v>14955673.647296879</v>
      </c>
      <c r="J24" s="12">
        <f t="shared" ca="1" si="2"/>
        <v>16631561.272075964</v>
      </c>
      <c r="K24" s="12">
        <f t="shared" ca="1" si="2"/>
        <v>19105086.979171254</v>
      </c>
      <c r="L24" s="108">
        <f ca="1">SUM(L15:L23)</f>
        <v>136109932.47891557</v>
      </c>
      <c r="M24" s="110">
        <f ca="1">SUM(M15:M23)</f>
        <v>0.99999999999999989</v>
      </c>
    </row>
    <row r="25" spans="1:13" x14ac:dyDescent="0.25">
      <c r="A25" s="3" t="s">
        <v>26</v>
      </c>
      <c r="B25" s="11">
        <f>B24</f>
        <v>14592902.5</v>
      </c>
      <c r="C25" s="11">
        <f ca="1">B25+C24</f>
        <v>24378917.731249999</v>
      </c>
      <c r="D25" s="11">
        <f t="shared" ref="D25:K25" ca="1" si="3">C25+D24</f>
        <v>34715042.003432028</v>
      </c>
      <c r="E25" s="11">
        <f t="shared" ca="1" si="3"/>
        <v>47467814.989745155</v>
      </c>
      <c r="F25" s="11">
        <f t="shared" ca="1" si="3"/>
        <v>58708391.464635596</v>
      </c>
      <c r="G25" s="11">
        <f t="shared" ca="1" si="3"/>
        <v>71967687.96490626</v>
      </c>
      <c r="H25" s="11">
        <f t="shared" ca="1" si="3"/>
        <v>85417610.580371469</v>
      </c>
      <c r="I25" s="11">
        <f t="shared" ca="1" si="3"/>
        <v>100373284.22766834</v>
      </c>
      <c r="J25" s="11">
        <f t="shared" ca="1" si="3"/>
        <v>117004845.49974431</v>
      </c>
      <c r="K25" s="11">
        <f t="shared" ca="1" si="3"/>
        <v>136109932.47891557</v>
      </c>
    </row>
    <row r="26" spans="1:13" x14ac:dyDescent="0.25">
      <c r="B26" s="1">
        <f ca="1">B24/$L$24</f>
        <v>0.10721408962759237</v>
      </c>
      <c r="C26" s="1">
        <f t="shared" ref="C26:K26" ca="1" si="4">C24/$L$24</f>
        <v>7.1897877348267178E-2</v>
      </c>
      <c r="D26" s="1">
        <f t="shared" ca="1" si="4"/>
        <v>7.5939529789886356E-2</v>
      </c>
      <c r="E26" s="1">
        <f t="shared" ca="1" si="4"/>
        <v>9.3694653682152268E-2</v>
      </c>
      <c r="F26" s="1">
        <f t="shared" ca="1" si="4"/>
        <v>8.2584542289973528E-2</v>
      </c>
      <c r="G26" s="1">
        <f t="shared" ca="1" si="4"/>
        <v>9.7416083152672431E-2</v>
      </c>
      <c r="H26" s="1">
        <f t="shared" ca="1" si="4"/>
        <v>9.8816613677688125E-2</v>
      </c>
      <c r="I26" s="1">
        <f t="shared" ca="1" si="4"/>
        <v>0.10987937011587029</v>
      </c>
      <c r="J26" s="1">
        <f t="shared" ca="1" si="4"/>
        <v>0.12219212051003196</v>
      </c>
      <c r="K26" s="1">
        <f t="shared" ca="1" si="4"/>
        <v>0.14036511980586555</v>
      </c>
    </row>
    <row r="28" spans="1:13" x14ac:dyDescent="0.25">
      <c r="A28" s="57" t="s">
        <v>263</v>
      </c>
      <c r="B28" s="92">
        <v>71</v>
      </c>
      <c r="C28" s="53" t="s">
        <v>264</v>
      </c>
    </row>
    <row r="29" spans="1:13" x14ac:dyDescent="0.25">
      <c r="A29" s="57" t="s">
        <v>27</v>
      </c>
      <c r="B29" s="50">
        <f ca="1">K25/B7/10</f>
        <v>0.9013902813173218</v>
      </c>
      <c r="C29" s="78" t="s">
        <v>265</v>
      </c>
    </row>
    <row r="30" spans="1:13" x14ac:dyDescent="0.25">
      <c r="A30" s="57" t="s">
        <v>28</v>
      </c>
      <c r="B30" s="56">
        <f ca="1">B29/(B28*L32/10)</f>
        <v>8.356280191469773E-3</v>
      </c>
      <c r="C30" s="53" t="s">
        <v>266</v>
      </c>
    </row>
    <row r="31" spans="1:13" x14ac:dyDescent="0.25">
      <c r="K31" s="4"/>
    </row>
    <row r="32" spans="1:13" hidden="1" x14ac:dyDescent="0.25">
      <c r="B32" s="51">
        <f>(1+$B$2)^(B14-1)</f>
        <v>1</v>
      </c>
      <c r="C32" s="51">
        <f t="shared" ref="C32:K32" si="5">(1+$B$2)^(C14-1)</f>
        <v>1.0900000000000001</v>
      </c>
      <c r="D32" s="51">
        <f t="shared" si="5"/>
        <v>1.1881000000000002</v>
      </c>
      <c r="E32" s="51">
        <f t="shared" si="5"/>
        <v>1.2950290000000002</v>
      </c>
      <c r="F32" s="51">
        <f t="shared" si="5"/>
        <v>1.4115816100000003</v>
      </c>
      <c r="G32" s="51">
        <f t="shared" si="5"/>
        <v>1.5386239549000005</v>
      </c>
      <c r="H32" s="51">
        <f t="shared" si="5"/>
        <v>1.6771001108410006</v>
      </c>
      <c r="I32" s="51">
        <f t="shared" si="5"/>
        <v>1.8280391208166906</v>
      </c>
      <c r="J32" s="51">
        <f t="shared" si="5"/>
        <v>1.9925626416901929</v>
      </c>
      <c r="K32" s="51">
        <f t="shared" si="5"/>
        <v>2.1718932794423105</v>
      </c>
      <c r="L32" s="47">
        <f>SUM(B32:K32)</f>
        <v>15.192929717690193</v>
      </c>
    </row>
    <row r="33" spans="1:1" x14ac:dyDescent="0.25">
      <c r="A33" s="122"/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38"/>
  <sheetViews>
    <sheetView zoomScaleNormal="100" workbookViewId="0">
      <selection activeCell="A4" sqref="A4:D32"/>
    </sheetView>
  </sheetViews>
  <sheetFormatPr defaultRowHeight="15" x14ac:dyDescent="0.25"/>
  <cols>
    <col min="1" max="1" width="28.7109375" customWidth="1"/>
    <col min="2" max="2" width="7.85546875" style="57" customWidth="1"/>
    <col min="3" max="3" width="12.28515625" customWidth="1"/>
    <col min="4" max="4" width="17.5703125" style="57" customWidth="1"/>
    <col min="5" max="5" width="13.85546875" style="57" customWidth="1"/>
    <col min="6" max="16" width="12.7109375" customWidth="1"/>
    <col min="17" max="17" width="15.7109375" customWidth="1"/>
    <col min="18" max="18" width="10" customWidth="1"/>
  </cols>
  <sheetData>
    <row r="2" spans="1:18" x14ac:dyDescent="0.25">
      <c r="A2" t="s">
        <v>29</v>
      </c>
      <c r="B2" s="82">
        <f>Summary!B2</f>
        <v>0.09</v>
      </c>
    </row>
    <row r="3" spans="1:18" ht="15.75" thickBot="1" x14ac:dyDescent="0.3">
      <c r="E3" s="66"/>
      <c r="G3" s="123" t="s">
        <v>30</v>
      </c>
      <c r="H3" s="123"/>
      <c r="I3" s="123"/>
      <c r="J3" s="123"/>
      <c r="K3" s="123"/>
      <c r="L3" s="123"/>
      <c r="M3" s="123"/>
      <c r="N3" s="123"/>
      <c r="O3" s="123"/>
      <c r="P3" s="123"/>
    </row>
    <row r="4" spans="1:18" x14ac:dyDescent="0.25">
      <c r="B4" s="60" t="s">
        <v>31</v>
      </c>
      <c r="C4" s="61" t="s">
        <v>32</v>
      </c>
      <c r="D4" s="60" t="s">
        <v>33</v>
      </c>
      <c r="E4" s="60" t="s">
        <v>34</v>
      </c>
      <c r="F4" s="98" t="s">
        <v>35</v>
      </c>
      <c r="G4" s="99">
        <v>1</v>
      </c>
      <c r="H4" s="99">
        <v>2</v>
      </c>
      <c r="I4" s="99">
        <v>3</v>
      </c>
      <c r="J4" s="99">
        <v>4</v>
      </c>
      <c r="K4" s="99">
        <v>5</v>
      </c>
      <c r="L4" s="99">
        <v>6</v>
      </c>
      <c r="M4" s="99">
        <v>7</v>
      </c>
      <c r="N4" s="99">
        <v>8</v>
      </c>
      <c r="O4" s="99">
        <v>9</v>
      </c>
      <c r="P4" s="99">
        <v>10</v>
      </c>
      <c r="Q4" s="19" t="s">
        <v>36</v>
      </c>
      <c r="R4" s="104" t="s">
        <v>259</v>
      </c>
    </row>
    <row r="5" spans="1:18" x14ac:dyDescent="0.25">
      <c r="A5" s="2" t="s">
        <v>37</v>
      </c>
      <c r="E5" s="66" t="s">
        <v>38</v>
      </c>
      <c r="F5" s="100">
        <v>1</v>
      </c>
      <c r="G5" s="100"/>
      <c r="H5" s="100"/>
      <c r="I5" s="100"/>
      <c r="J5" s="100"/>
      <c r="K5" s="100">
        <v>1</v>
      </c>
      <c r="L5" s="100"/>
      <c r="M5" s="100"/>
      <c r="N5" s="100"/>
      <c r="O5" s="100"/>
      <c r="P5" s="100">
        <v>1</v>
      </c>
      <c r="Q5" s="63"/>
      <c r="R5" s="2"/>
    </row>
    <row r="6" spans="1:18" x14ac:dyDescent="0.25">
      <c r="A6" s="17" t="s">
        <v>39</v>
      </c>
      <c r="B6" s="96">
        <v>40</v>
      </c>
      <c r="C6" s="58" t="s">
        <v>40</v>
      </c>
      <c r="D6" s="97">
        <v>1000</v>
      </c>
      <c r="E6" s="67">
        <f>D6*B6</f>
        <v>40000</v>
      </c>
      <c r="F6" s="69"/>
      <c r="Q6" s="63"/>
      <c r="R6" s="2"/>
    </row>
    <row r="7" spans="1:18" x14ac:dyDescent="0.25">
      <c r="A7" s="17" t="s">
        <v>41</v>
      </c>
      <c r="B7" s="96">
        <v>1</v>
      </c>
      <c r="C7" s="58" t="s">
        <v>42</v>
      </c>
      <c r="D7" s="97">
        <v>10000</v>
      </c>
      <c r="E7" s="67">
        <f>D7*B7</f>
        <v>10000</v>
      </c>
      <c r="F7" s="69"/>
      <c r="Q7" s="63"/>
      <c r="R7" s="2"/>
    </row>
    <row r="8" spans="1:18" x14ac:dyDescent="0.25">
      <c r="A8" s="17" t="s">
        <v>43</v>
      </c>
      <c r="B8" s="96">
        <v>4</v>
      </c>
      <c r="C8" s="58" t="s">
        <v>42</v>
      </c>
      <c r="D8" s="97">
        <v>10000</v>
      </c>
      <c r="E8" s="67">
        <f>D8*B8</f>
        <v>40000</v>
      </c>
      <c r="F8" s="69"/>
      <c r="Q8" s="63"/>
      <c r="R8" s="2"/>
    </row>
    <row r="9" spans="1:18" x14ac:dyDescent="0.25">
      <c r="A9" t="s">
        <v>44</v>
      </c>
      <c r="E9" s="68">
        <f>SUM(E6:E8)</f>
        <v>90000</v>
      </c>
      <c r="F9" s="70">
        <f>F5*$E$9</f>
        <v>90000</v>
      </c>
      <c r="G9" s="36">
        <f>G5*$E$9*(1+$B$2)^(G$4-1)</f>
        <v>0</v>
      </c>
      <c r="H9" s="36">
        <f t="shared" ref="H9:P9" si="0">H5*$E$9*(1+$B$2)^(H$4-1)</f>
        <v>0</v>
      </c>
      <c r="I9" s="36">
        <f t="shared" si="0"/>
        <v>0</v>
      </c>
      <c r="J9" s="36">
        <f t="shared" si="0"/>
        <v>0</v>
      </c>
      <c r="K9" s="36">
        <f t="shared" si="0"/>
        <v>127042.34490000003</v>
      </c>
      <c r="L9" s="36">
        <f t="shared" si="0"/>
        <v>0</v>
      </c>
      <c r="M9" s="36">
        <f t="shared" si="0"/>
        <v>0</v>
      </c>
      <c r="N9" s="36">
        <f t="shared" si="0"/>
        <v>0</v>
      </c>
      <c r="O9" s="36">
        <f t="shared" si="0"/>
        <v>0</v>
      </c>
      <c r="P9" s="36">
        <f t="shared" si="0"/>
        <v>195470.39514980794</v>
      </c>
      <c r="Q9" s="105">
        <f>SUM(G9:P9)</f>
        <v>322512.74004980794</v>
      </c>
      <c r="R9" s="106">
        <f>Q9/$Q$35</f>
        <v>9.1878569470984106E-2</v>
      </c>
    </row>
    <row r="10" spans="1:18" x14ac:dyDescent="0.25">
      <c r="F10" s="69"/>
      <c r="Q10" s="63"/>
      <c r="R10" s="2"/>
    </row>
    <row r="11" spans="1:18" x14ac:dyDescent="0.25">
      <c r="A11" s="2" t="s">
        <v>45</v>
      </c>
      <c r="E11" s="66" t="s">
        <v>38</v>
      </c>
      <c r="F11" s="100">
        <v>1</v>
      </c>
      <c r="G11" s="100"/>
      <c r="H11" s="100"/>
      <c r="I11" s="100"/>
      <c r="J11" s="100"/>
      <c r="K11" s="100">
        <v>1</v>
      </c>
      <c r="L11" s="100"/>
      <c r="M11" s="100"/>
      <c r="N11" s="100"/>
      <c r="O11" s="100"/>
      <c r="P11" s="100">
        <v>1</v>
      </c>
      <c r="Q11" s="63"/>
      <c r="R11" s="2"/>
    </row>
    <row r="12" spans="1:18" x14ac:dyDescent="0.25">
      <c r="A12" s="17" t="s">
        <v>39</v>
      </c>
      <c r="B12" s="96">
        <v>40</v>
      </c>
      <c r="C12" s="58" t="s">
        <v>40</v>
      </c>
      <c r="D12" s="97">
        <v>1000</v>
      </c>
      <c r="E12" s="67">
        <f>D12*B12</f>
        <v>40000</v>
      </c>
      <c r="F12" s="69"/>
      <c r="Q12" s="63"/>
      <c r="R12" s="2"/>
    </row>
    <row r="13" spans="1:18" x14ac:dyDescent="0.25">
      <c r="A13" s="17" t="s">
        <v>41</v>
      </c>
      <c r="B13" s="96">
        <v>2</v>
      </c>
      <c r="C13" s="58" t="s">
        <v>42</v>
      </c>
      <c r="D13" s="97">
        <v>10000</v>
      </c>
      <c r="E13" s="67">
        <f>D13*B13</f>
        <v>20000</v>
      </c>
      <c r="F13" s="69"/>
      <c r="Q13" s="63"/>
      <c r="R13" s="2"/>
    </row>
    <row r="14" spans="1:18" x14ac:dyDescent="0.25">
      <c r="A14" s="17" t="s">
        <v>43</v>
      </c>
      <c r="B14" s="96">
        <v>0</v>
      </c>
      <c r="C14" s="58" t="s">
        <v>42</v>
      </c>
      <c r="D14" s="97">
        <v>10000</v>
      </c>
      <c r="E14" s="67">
        <f>D14*B14</f>
        <v>0</v>
      </c>
      <c r="F14" s="69"/>
      <c r="Q14" s="63"/>
      <c r="R14" s="2"/>
    </row>
    <row r="15" spans="1:18" x14ac:dyDescent="0.25">
      <c r="A15" t="s">
        <v>44</v>
      </c>
      <c r="E15" s="68">
        <f>SUM(E12:E14)</f>
        <v>60000</v>
      </c>
      <c r="F15" s="70">
        <f>F11*$E$15</f>
        <v>60000</v>
      </c>
      <c r="G15" s="36">
        <f>G11*$E$15*(1+$B$2)^(G$4-1)</f>
        <v>0</v>
      </c>
      <c r="H15" s="36">
        <f t="shared" ref="H15:P15" si="1">H11*$E$15*(1+$B$2)^(H$4-1)</f>
        <v>0</v>
      </c>
      <c r="I15" s="36">
        <f t="shared" si="1"/>
        <v>0</v>
      </c>
      <c r="J15" s="36">
        <f t="shared" si="1"/>
        <v>0</v>
      </c>
      <c r="K15" s="36">
        <f t="shared" si="1"/>
        <v>84694.896600000022</v>
      </c>
      <c r="L15" s="36">
        <f t="shared" si="1"/>
        <v>0</v>
      </c>
      <c r="M15" s="36">
        <f t="shared" si="1"/>
        <v>0</v>
      </c>
      <c r="N15" s="36">
        <f t="shared" si="1"/>
        <v>0</v>
      </c>
      <c r="O15" s="36">
        <f t="shared" si="1"/>
        <v>0</v>
      </c>
      <c r="P15" s="36">
        <f t="shared" si="1"/>
        <v>130313.59676653863</v>
      </c>
      <c r="Q15" s="105">
        <f>SUM(G15:P15)</f>
        <v>215008.49336653866</v>
      </c>
      <c r="R15" s="106">
        <f>Q15/$Q$35</f>
        <v>6.1252379647322747E-2</v>
      </c>
    </row>
    <row r="16" spans="1:18" x14ac:dyDescent="0.25">
      <c r="F16" s="69"/>
      <c r="Q16" s="63"/>
      <c r="R16" s="2"/>
    </row>
    <row r="17" spans="1:18" x14ac:dyDescent="0.25">
      <c r="A17" s="2" t="s">
        <v>46</v>
      </c>
      <c r="E17" s="66" t="s">
        <v>38</v>
      </c>
      <c r="F17" s="100">
        <v>1</v>
      </c>
      <c r="G17" s="100"/>
      <c r="H17" s="100"/>
      <c r="I17" s="100"/>
      <c r="J17" s="100"/>
      <c r="K17" s="100">
        <v>1</v>
      </c>
      <c r="L17" s="100"/>
      <c r="M17" s="100"/>
      <c r="N17" s="100"/>
      <c r="O17" s="100"/>
      <c r="P17" s="100">
        <v>1</v>
      </c>
      <c r="Q17" s="63"/>
      <c r="R17" s="2"/>
    </row>
    <row r="18" spans="1:18" x14ac:dyDescent="0.25">
      <c r="A18" s="17" t="s">
        <v>39</v>
      </c>
      <c r="B18" s="96">
        <v>20</v>
      </c>
      <c r="C18" s="58" t="s">
        <v>40</v>
      </c>
      <c r="D18" s="97">
        <v>1000</v>
      </c>
      <c r="E18" s="67">
        <f>D18*B18</f>
        <v>20000</v>
      </c>
      <c r="F18" s="69"/>
      <c r="Q18" s="63"/>
      <c r="R18" s="2"/>
    </row>
    <row r="19" spans="1:18" x14ac:dyDescent="0.25">
      <c r="A19" s="17" t="s">
        <v>41</v>
      </c>
      <c r="B19" s="96">
        <v>1</v>
      </c>
      <c r="C19" s="58" t="s">
        <v>42</v>
      </c>
      <c r="D19" s="97">
        <v>10000</v>
      </c>
      <c r="E19" s="67">
        <f>D19*B19</f>
        <v>10000</v>
      </c>
      <c r="F19" s="69"/>
      <c r="Q19" s="63"/>
      <c r="R19" s="2"/>
    </row>
    <row r="20" spans="1:18" x14ac:dyDescent="0.25">
      <c r="A20" s="17" t="s">
        <v>43</v>
      </c>
      <c r="B20" s="96">
        <v>4</v>
      </c>
      <c r="C20" s="58" t="s">
        <v>42</v>
      </c>
      <c r="D20" s="97">
        <v>10000</v>
      </c>
      <c r="E20" s="67">
        <f>D20*B20</f>
        <v>40000</v>
      </c>
      <c r="F20" s="69"/>
      <c r="Q20" s="63"/>
      <c r="R20" s="2"/>
    </row>
    <row r="21" spans="1:18" x14ac:dyDescent="0.25">
      <c r="A21" t="s">
        <v>44</v>
      </c>
      <c r="E21" s="68">
        <f>SUM(E18:E20)</f>
        <v>70000</v>
      </c>
      <c r="F21" s="70">
        <f>F17*$E$21</f>
        <v>70000</v>
      </c>
      <c r="G21" s="36">
        <f>G17*$E$21*(1+$B$2)^(G$4-1)</f>
        <v>0</v>
      </c>
      <c r="H21" s="36">
        <f t="shared" ref="H21:P21" si="2">H17*$E$21*(1+$B$2)^(H$4-1)</f>
        <v>0</v>
      </c>
      <c r="I21" s="36">
        <f t="shared" si="2"/>
        <v>0</v>
      </c>
      <c r="J21" s="36">
        <f t="shared" si="2"/>
        <v>0</v>
      </c>
      <c r="K21" s="36">
        <f t="shared" si="2"/>
        <v>98810.712700000018</v>
      </c>
      <c r="L21" s="36">
        <f t="shared" si="2"/>
        <v>0</v>
      </c>
      <c r="M21" s="36">
        <f t="shared" si="2"/>
        <v>0</v>
      </c>
      <c r="N21" s="36">
        <f t="shared" si="2"/>
        <v>0</v>
      </c>
      <c r="O21" s="36">
        <f t="shared" si="2"/>
        <v>0</v>
      </c>
      <c r="P21" s="36">
        <f t="shared" si="2"/>
        <v>152032.52956096173</v>
      </c>
      <c r="Q21" s="105">
        <f>SUM(G21:P21)</f>
        <v>250843.24226096174</v>
      </c>
      <c r="R21" s="106">
        <f>Q21/$Q$35</f>
        <v>7.1461109588543195E-2</v>
      </c>
    </row>
    <row r="22" spans="1:18" x14ac:dyDescent="0.25">
      <c r="F22" s="69"/>
      <c r="Q22" s="63"/>
      <c r="R22" s="2"/>
    </row>
    <row r="23" spans="1:18" x14ac:dyDescent="0.25">
      <c r="A23" s="2" t="s">
        <v>47</v>
      </c>
      <c r="E23" s="66" t="s">
        <v>38</v>
      </c>
      <c r="F23" s="100">
        <v>1</v>
      </c>
      <c r="G23" s="100"/>
      <c r="H23" s="100"/>
      <c r="I23" s="100"/>
      <c r="J23" s="100"/>
      <c r="K23" s="100">
        <v>1</v>
      </c>
      <c r="L23" s="100"/>
      <c r="M23" s="100"/>
      <c r="N23" s="100"/>
      <c r="O23" s="100"/>
      <c r="P23" s="100">
        <v>1</v>
      </c>
      <c r="Q23" s="63"/>
      <c r="R23" s="2"/>
    </row>
    <row r="24" spans="1:18" x14ac:dyDescent="0.25">
      <c r="A24" s="17" t="s">
        <v>39</v>
      </c>
      <c r="B24" s="96">
        <v>10</v>
      </c>
      <c r="C24" s="58" t="s">
        <v>40</v>
      </c>
      <c r="D24" s="97">
        <v>1000</v>
      </c>
      <c r="E24" s="67">
        <f>D24*B24</f>
        <v>10000</v>
      </c>
      <c r="F24" s="69"/>
      <c r="Q24" s="63"/>
      <c r="R24" s="2"/>
    </row>
    <row r="25" spans="1:18" x14ac:dyDescent="0.25">
      <c r="A25" s="17" t="s">
        <v>41</v>
      </c>
      <c r="B25" s="96">
        <v>1</v>
      </c>
      <c r="C25" s="58" t="s">
        <v>42</v>
      </c>
      <c r="D25" s="97">
        <v>10000</v>
      </c>
      <c r="E25" s="67">
        <f>D25*B25</f>
        <v>10000</v>
      </c>
      <c r="F25" s="69"/>
      <c r="Q25" s="63"/>
      <c r="R25" s="2"/>
    </row>
    <row r="26" spans="1:18" x14ac:dyDescent="0.25">
      <c r="A26" s="17" t="s">
        <v>43</v>
      </c>
      <c r="B26" s="96">
        <v>4</v>
      </c>
      <c r="C26" s="58" t="s">
        <v>42</v>
      </c>
      <c r="D26" s="97">
        <v>10000</v>
      </c>
      <c r="E26" s="67">
        <f>D26*B26</f>
        <v>40000</v>
      </c>
      <c r="F26" s="69"/>
      <c r="Q26" s="63"/>
      <c r="R26" s="2"/>
    </row>
    <row r="27" spans="1:18" x14ac:dyDescent="0.25">
      <c r="A27" t="s">
        <v>44</v>
      </c>
      <c r="E27" s="68">
        <f>SUM(E24:E26)</f>
        <v>60000</v>
      </c>
      <c r="F27" s="70">
        <f>F23*$E$27</f>
        <v>60000</v>
      </c>
      <c r="G27" s="36">
        <f>G23*$E$27*(1+$B$2)^(G$4-1)</f>
        <v>0</v>
      </c>
      <c r="H27" s="36">
        <f t="shared" ref="H27:P27" si="3">H23*$E$27*(1+$B$2)^(H$4-1)</f>
        <v>0</v>
      </c>
      <c r="I27" s="36">
        <f t="shared" si="3"/>
        <v>0</v>
      </c>
      <c r="J27" s="36">
        <f t="shared" si="3"/>
        <v>0</v>
      </c>
      <c r="K27" s="36">
        <f t="shared" si="3"/>
        <v>84694.896600000022</v>
      </c>
      <c r="L27" s="36">
        <f t="shared" si="3"/>
        <v>0</v>
      </c>
      <c r="M27" s="36">
        <f t="shared" si="3"/>
        <v>0</v>
      </c>
      <c r="N27" s="36">
        <f t="shared" si="3"/>
        <v>0</v>
      </c>
      <c r="O27" s="36">
        <f t="shared" si="3"/>
        <v>0</v>
      </c>
      <c r="P27" s="36">
        <f t="shared" si="3"/>
        <v>130313.59676653863</v>
      </c>
      <c r="Q27" s="105">
        <f>SUM(G27:P27)</f>
        <v>215008.49336653866</v>
      </c>
      <c r="R27" s="106">
        <f>Q27/$Q$35</f>
        <v>6.1252379647322747E-2</v>
      </c>
    </row>
    <row r="28" spans="1:18" x14ac:dyDescent="0.25">
      <c r="F28" s="69"/>
      <c r="Q28" s="63"/>
      <c r="R28" s="2"/>
    </row>
    <row r="29" spans="1:18" x14ac:dyDescent="0.25">
      <c r="A29" s="59" t="s">
        <v>48</v>
      </c>
      <c r="D29" s="49" t="s">
        <v>49</v>
      </c>
      <c r="E29" s="49" t="s">
        <v>50</v>
      </c>
      <c r="F29" s="71">
        <v>1</v>
      </c>
      <c r="G29" s="58">
        <v>1</v>
      </c>
      <c r="H29" s="58">
        <v>1</v>
      </c>
      <c r="I29" s="58">
        <v>1</v>
      </c>
      <c r="J29" s="58">
        <v>1</v>
      </c>
      <c r="K29" s="58">
        <v>1</v>
      </c>
      <c r="L29" s="58">
        <v>1</v>
      </c>
      <c r="M29" s="58">
        <v>1</v>
      </c>
      <c r="N29" s="58">
        <v>1</v>
      </c>
      <c r="O29" s="58">
        <v>1</v>
      </c>
      <c r="P29" s="58">
        <v>1</v>
      </c>
      <c r="Q29" s="63"/>
      <c r="R29" s="2"/>
    </row>
    <row r="30" spans="1:18" x14ac:dyDescent="0.25">
      <c r="A30" s="17" t="s">
        <v>51</v>
      </c>
      <c r="B30" s="96">
        <v>1</v>
      </c>
      <c r="C30" t="s">
        <v>52</v>
      </c>
      <c r="D30" s="97">
        <v>100000</v>
      </c>
      <c r="E30" s="67">
        <f>D30*B30</f>
        <v>100000</v>
      </c>
      <c r="F30" s="69"/>
      <c r="Q30" s="63"/>
      <c r="R30" s="2"/>
    </row>
    <row r="31" spans="1:18" x14ac:dyDescent="0.25">
      <c r="A31" s="17" t="s">
        <v>53</v>
      </c>
      <c r="B31" s="96">
        <v>50</v>
      </c>
      <c r="C31" t="s">
        <v>54</v>
      </c>
      <c r="D31" s="97">
        <v>100</v>
      </c>
      <c r="E31" s="67">
        <f>D31*B31</f>
        <v>5000</v>
      </c>
      <c r="F31" s="69"/>
      <c r="Q31" s="63"/>
      <c r="R31" s="2"/>
    </row>
    <row r="32" spans="1:18" x14ac:dyDescent="0.25">
      <c r="A32" s="17" t="s">
        <v>55</v>
      </c>
      <c r="B32" s="96">
        <v>4</v>
      </c>
      <c r="C32" t="s">
        <v>54</v>
      </c>
      <c r="D32" s="97">
        <v>15000</v>
      </c>
      <c r="E32" s="67">
        <f>D32*B32</f>
        <v>60000</v>
      </c>
      <c r="F32" s="69"/>
      <c r="Q32" s="63"/>
      <c r="R32" s="2"/>
    </row>
    <row r="33" spans="1:18" ht="15.75" thickBot="1" x14ac:dyDescent="0.3">
      <c r="A33" t="s">
        <v>44</v>
      </c>
      <c r="E33" s="68">
        <f>SUM(E30:E32)</f>
        <v>165000</v>
      </c>
      <c r="F33" s="72">
        <f>F29*$E$33</f>
        <v>165000</v>
      </c>
      <c r="G33" s="36">
        <f>G29*$E$33*(1+$B$2)^(G$4-1)</f>
        <v>165000</v>
      </c>
      <c r="H33" s="36">
        <f t="shared" ref="H33:P33" si="4">H29*$E$33*(1+$B$2)^(H$4-1)</f>
        <v>179850</v>
      </c>
      <c r="I33" s="36">
        <f t="shared" si="4"/>
        <v>196036.50000000003</v>
      </c>
      <c r="J33" s="36">
        <f t="shared" si="4"/>
        <v>213679.78500000003</v>
      </c>
      <c r="K33" s="36">
        <f t="shared" si="4"/>
        <v>232910.96565000006</v>
      </c>
      <c r="L33" s="36">
        <f t="shared" si="4"/>
        <v>253872.95255850008</v>
      </c>
      <c r="M33" s="36">
        <f t="shared" si="4"/>
        <v>276721.5182887651</v>
      </c>
      <c r="N33" s="36">
        <f t="shared" si="4"/>
        <v>301626.45493475394</v>
      </c>
      <c r="O33" s="36">
        <f t="shared" si="4"/>
        <v>328772.83587888186</v>
      </c>
      <c r="P33" s="36">
        <f t="shared" si="4"/>
        <v>358362.39110798121</v>
      </c>
      <c r="Q33" s="105">
        <f>SUM(G33:P33)</f>
        <v>2506833.4034188818</v>
      </c>
      <c r="R33" s="106">
        <f>Q33/$Q$35</f>
        <v>0.71415556164582716</v>
      </c>
    </row>
    <row r="34" spans="1:18" x14ac:dyDescent="0.25"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2"/>
      <c r="R34" s="2"/>
    </row>
    <row r="35" spans="1:18" x14ac:dyDescent="0.25">
      <c r="F35" s="3" t="s">
        <v>56</v>
      </c>
      <c r="G35" s="14">
        <f t="shared" ref="G35:P35" si="5">G9+G15+G21+G27+G33</f>
        <v>165000</v>
      </c>
      <c r="H35" s="14">
        <f t="shared" si="5"/>
        <v>179850</v>
      </c>
      <c r="I35" s="14">
        <f t="shared" si="5"/>
        <v>196036.50000000003</v>
      </c>
      <c r="J35" s="14">
        <f t="shared" si="5"/>
        <v>213679.78500000003</v>
      </c>
      <c r="K35" s="14">
        <f t="shared" si="5"/>
        <v>628153.81645000016</v>
      </c>
      <c r="L35" s="14">
        <f t="shared" si="5"/>
        <v>253872.95255850008</v>
      </c>
      <c r="M35" s="14">
        <f t="shared" si="5"/>
        <v>276721.5182887651</v>
      </c>
      <c r="N35" s="14">
        <f t="shared" si="5"/>
        <v>301626.45493475394</v>
      </c>
      <c r="O35" s="14">
        <f t="shared" si="5"/>
        <v>328772.83587888186</v>
      </c>
      <c r="P35" s="14">
        <f t="shared" si="5"/>
        <v>966492.50935182825</v>
      </c>
      <c r="Q35" s="90">
        <f>SUM(G35:P35)</f>
        <v>3510206.372462729</v>
      </c>
      <c r="R35" s="107">
        <f>SUM(R9:R34)</f>
        <v>1</v>
      </c>
    </row>
    <row r="36" spans="1:18" x14ac:dyDescent="0.25">
      <c r="F36" s="3" t="s">
        <v>26</v>
      </c>
      <c r="G36" s="14">
        <f>G35</f>
        <v>165000</v>
      </c>
      <c r="H36" s="14">
        <f>G36+H35</f>
        <v>344850</v>
      </c>
      <c r="I36" s="14">
        <f t="shared" ref="I36:P36" si="6">H36+I35</f>
        <v>540886.5</v>
      </c>
      <c r="J36" s="14">
        <f t="shared" si="6"/>
        <v>754566.28500000003</v>
      </c>
      <c r="K36" s="14">
        <f t="shared" si="6"/>
        <v>1382720.1014500002</v>
      </c>
      <c r="L36" s="14">
        <f t="shared" si="6"/>
        <v>1636593.0540085002</v>
      </c>
      <c r="M36" s="14">
        <f t="shared" si="6"/>
        <v>1913314.5722972653</v>
      </c>
      <c r="N36" s="14">
        <f t="shared" si="6"/>
        <v>2214941.0272320192</v>
      </c>
      <c r="O36" s="14">
        <f t="shared" si="6"/>
        <v>2543713.8631109009</v>
      </c>
      <c r="P36" s="14">
        <f t="shared" si="6"/>
        <v>3510206.372462729</v>
      </c>
      <c r="R36" s="2"/>
    </row>
    <row r="37" spans="1:18" ht="15.75" thickBot="1" x14ac:dyDescent="0.3"/>
    <row r="38" spans="1:18" ht="15.75" thickBot="1" x14ac:dyDescent="0.3">
      <c r="E38" s="3" t="s">
        <v>57</v>
      </c>
      <c r="F38" s="73">
        <f>F33+F27+F21+F15+F9</f>
        <v>445000</v>
      </c>
    </row>
  </sheetData>
  <mergeCells count="1">
    <mergeCell ref="G3:P3"/>
  </mergeCells>
  <pageMargins left="0.7" right="0.7" top="0.75" bottom="0.75" header="0.3" footer="0.3"/>
  <pageSetup orientation="portrait" horizontalDpi="4294967293" verticalDpi="4294967293" r:id="rId1"/>
  <customProperties>
    <customPr name="LastActiv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4"/>
  <sheetViews>
    <sheetView zoomScaleNormal="100" workbookViewId="0"/>
  </sheetViews>
  <sheetFormatPr defaultRowHeight="15" x14ac:dyDescent="0.25"/>
  <cols>
    <col min="1" max="1" width="43.5703125" customWidth="1"/>
    <col min="2" max="11" width="15.7109375" customWidth="1"/>
  </cols>
  <sheetData>
    <row r="2" spans="1:9" x14ac:dyDescent="0.25">
      <c r="A2" t="s">
        <v>58</v>
      </c>
      <c r="B2" s="92"/>
      <c r="C2" s="53" t="s">
        <v>59</v>
      </c>
    </row>
    <row r="3" spans="1:9" x14ac:dyDescent="0.25">
      <c r="A3" t="s">
        <v>60</v>
      </c>
      <c r="B3" s="92"/>
      <c r="C3" s="53" t="s">
        <v>61</v>
      </c>
    </row>
    <row r="4" spans="1:9" x14ac:dyDescent="0.25">
      <c r="A4" t="s">
        <v>62</v>
      </c>
      <c r="B4" s="93"/>
      <c r="C4" s="53" t="s">
        <v>63</v>
      </c>
    </row>
    <row r="5" spans="1:9" x14ac:dyDescent="0.25">
      <c r="B5" s="8"/>
    </row>
    <row r="6" spans="1:9" x14ac:dyDescent="0.25">
      <c r="A6" t="s">
        <v>0</v>
      </c>
      <c r="B6" s="55">
        <f>Summary!B2</f>
        <v>0.09</v>
      </c>
    </row>
    <row r="8" spans="1:9" x14ac:dyDescent="0.25">
      <c r="B8" s="3" t="s">
        <v>64</v>
      </c>
      <c r="C8" s="3" t="s">
        <v>65</v>
      </c>
      <c r="D8" s="3" t="s">
        <v>66</v>
      </c>
      <c r="E8" s="3" t="s">
        <v>67</v>
      </c>
      <c r="F8" s="54" t="s">
        <v>68</v>
      </c>
    </row>
    <row r="9" spans="1:9" x14ac:dyDescent="0.25">
      <c r="A9" s="2" t="s">
        <v>69</v>
      </c>
      <c r="F9" s="78"/>
      <c r="I9" s="3"/>
    </row>
    <row r="10" spans="1:9" x14ac:dyDescent="0.25">
      <c r="A10" t="s">
        <v>70</v>
      </c>
      <c r="B10" s="83"/>
      <c r="C10" s="83"/>
      <c r="D10" s="95"/>
      <c r="E10" s="13">
        <f>B10+C10+(D10*$B$2)</f>
        <v>0</v>
      </c>
      <c r="F10" s="78"/>
      <c r="I10" s="16"/>
    </row>
    <row r="11" spans="1:9" x14ac:dyDescent="0.25">
      <c r="A11" t="s">
        <v>71</v>
      </c>
      <c r="B11" s="83"/>
      <c r="C11" s="83"/>
      <c r="D11" s="95"/>
      <c r="E11" s="13">
        <f t="shared" ref="E11:E17" si="0">B11+C11+(D11*$B$2)</f>
        <v>0</v>
      </c>
      <c r="I11" s="16"/>
    </row>
    <row r="12" spans="1:9" x14ac:dyDescent="0.25">
      <c r="A12" t="s">
        <v>72</v>
      </c>
      <c r="B12" s="83"/>
      <c r="C12" s="83"/>
      <c r="D12" s="95"/>
      <c r="E12" s="13">
        <f t="shared" si="0"/>
        <v>0</v>
      </c>
      <c r="I12" s="16"/>
    </row>
    <row r="13" spans="1:9" x14ac:dyDescent="0.25">
      <c r="A13" t="s">
        <v>73</v>
      </c>
      <c r="B13" s="83"/>
      <c r="C13" s="83"/>
      <c r="D13" s="95"/>
      <c r="E13" s="13">
        <f t="shared" si="0"/>
        <v>0</v>
      </c>
      <c r="I13" s="16"/>
    </row>
    <row r="14" spans="1:9" x14ac:dyDescent="0.25">
      <c r="A14" t="s">
        <v>74</v>
      </c>
      <c r="B14" s="83"/>
      <c r="C14" s="83"/>
      <c r="D14" s="95"/>
      <c r="E14" s="13">
        <f t="shared" si="0"/>
        <v>0</v>
      </c>
      <c r="I14" s="16"/>
    </row>
    <row r="15" spans="1:9" x14ac:dyDescent="0.25">
      <c r="A15" t="s">
        <v>75</v>
      </c>
      <c r="B15" s="83"/>
      <c r="C15" s="83"/>
      <c r="D15" s="95"/>
      <c r="E15" s="13">
        <f t="shared" si="0"/>
        <v>0</v>
      </c>
      <c r="I15" s="16"/>
    </row>
    <row r="16" spans="1:9" x14ac:dyDescent="0.25">
      <c r="A16" t="s">
        <v>76</v>
      </c>
      <c r="B16" s="83"/>
      <c r="C16" s="83"/>
      <c r="D16" s="95"/>
      <c r="E16" s="13">
        <f t="shared" si="0"/>
        <v>0</v>
      </c>
      <c r="I16" s="16"/>
    </row>
    <row r="17" spans="1:11" x14ac:dyDescent="0.25">
      <c r="A17" s="84" t="s">
        <v>254</v>
      </c>
      <c r="B17" s="94">
        <v>500000</v>
      </c>
      <c r="C17" s="86"/>
      <c r="D17" s="87"/>
      <c r="E17" s="13">
        <f t="shared" si="0"/>
        <v>500000</v>
      </c>
      <c r="F17" s="78" t="s">
        <v>77</v>
      </c>
      <c r="I17" s="16"/>
    </row>
    <row r="18" spans="1:11" x14ac:dyDescent="0.25">
      <c r="B18" s="12">
        <f>SUM(B10:B17)</f>
        <v>500000</v>
      </c>
      <c r="C18" s="16">
        <f>SUM(C10:C17)</f>
        <v>0</v>
      </c>
      <c r="D18" s="18">
        <f>SUM(D10:D17)</f>
        <v>0</v>
      </c>
      <c r="E18" s="12">
        <f>SUM(E10:E17)</f>
        <v>500000</v>
      </c>
      <c r="I18" s="16"/>
    </row>
    <row r="19" spans="1:11" x14ac:dyDescent="0.25">
      <c r="B19" s="16"/>
      <c r="C19" s="16"/>
      <c r="D19" s="18"/>
      <c r="E19" s="16"/>
      <c r="I19" s="16"/>
    </row>
    <row r="20" spans="1:11" x14ac:dyDescent="0.25">
      <c r="B20" s="3" t="s">
        <v>64</v>
      </c>
      <c r="C20" s="3" t="s">
        <v>65</v>
      </c>
      <c r="D20" s="3" t="s">
        <v>66</v>
      </c>
      <c r="E20" s="3" t="s">
        <v>67</v>
      </c>
      <c r="I20" s="16"/>
    </row>
    <row r="21" spans="1:11" x14ac:dyDescent="0.25">
      <c r="A21" s="2" t="s">
        <v>78</v>
      </c>
      <c r="E21" s="13"/>
      <c r="F21" s="53" t="s">
        <v>79</v>
      </c>
      <c r="I21" s="16"/>
    </row>
    <row r="22" spans="1:11" x14ac:dyDescent="0.25">
      <c r="A22" t="s">
        <v>70</v>
      </c>
      <c r="B22" s="85">
        <f t="shared" ref="B22:B27" si="1">B10*$B$4/12</f>
        <v>0</v>
      </c>
      <c r="C22" s="83"/>
      <c r="D22" s="95"/>
      <c r="E22" s="13">
        <f>B22+C22+(D22*$B$3)</f>
        <v>0</v>
      </c>
      <c r="F22" s="78"/>
    </row>
    <row r="23" spans="1:11" x14ac:dyDescent="0.25">
      <c r="A23" t="s">
        <v>71</v>
      </c>
      <c r="B23" s="85">
        <f t="shared" si="1"/>
        <v>0</v>
      </c>
      <c r="C23" s="83"/>
      <c r="D23" s="95"/>
      <c r="E23" s="13">
        <f t="shared" ref="E23:E29" si="2">B23+C23+(D23*$B$3)</f>
        <v>0</v>
      </c>
    </row>
    <row r="24" spans="1:11" x14ac:dyDescent="0.25">
      <c r="A24" t="s">
        <v>72</v>
      </c>
      <c r="B24" s="85">
        <f t="shared" si="1"/>
        <v>0</v>
      </c>
      <c r="C24" s="83"/>
      <c r="D24" s="95"/>
      <c r="E24" s="13">
        <f t="shared" si="2"/>
        <v>0</v>
      </c>
    </row>
    <row r="25" spans="1:11" x14ac:dyDescent="0.25">
      <c r="A25" t="s">
        <v>73</v>
      </c>
      <c r="B25" s="85">
        <f t="shared" si="1"/>
        <v>0</v>
      </c>
      <c r="C25" s="83"/>
      <c r="D25" s="95"/>
      <c r="E25" s="13">
        <f t="shared" si="2"/>
        <v>0</v>
      </c>
    </row>
    <row r="26" spans="1:11" x14ac:dyDescent="0.25">
      <c r="A26" t="s">
        <v>74</v>
      </c>
      <c r="B26" s="85">
        <f t="shared" si="1"/>
        <v>0</v>
      </c>
      <c r="C26" s="83"/>
      <c r="D26" s="95"/>
      <c r="E26" s="13">
        <f t="shared" si="2"/>
        <v>0</v>
      </c>
    </row>
    <row r="27" spans="1:11" x14ac:dyDescent="0.25">
      <c r="A27" t="s">
        <v>75</v>
      </c>
      <c r="B27" s="85">
        <f t="shared" si="1"/>
        <v>0</v>
      </c>
      <c r="C27" s="83"/>
      <c r="D27" s="95"/>
      <c r="E27" s="13">
        <f t="shared" si="2"/>
        <v>0</v>
      </c>
    </row>
    <row r="28" spans="1:11" x14ac:dyDescent="0.25">
      <c r="A28" t="s">
        <v>76</v>
      </c>
      <c r="B28" s="85">
        <f t="shared" ref="B28" si="3">B16*$B$4/12</f>
        <v>0</v>
      </c>
      <c r="C28" s="83"/>
      <c r="D28" s="95"/>
      <c r="E28" s="13">
        <f t="shared" si="2"/>
        <v>0</v>
      </c>
    </row>
    <row r="29" spans="1:11" x14ac:dyDescent="0.25">
      <c r="A29" s="84" t="s">
        <v>255</v>
      </c>
      <c r="B29" s="83">
        <v>20000</v>
      </c>
      <c r="C29" s="86"/>
      <c r="D29" s="87"/>
      <c r="E29" s="13">
        <f t="shared" si="2"/>
        <v>20000</v>
      </c>
      <c r="F29" s="78" t="s">
        <v>80</v>
      </c>
    </row>
    <row r="30" spans="1:11" x14ac:dyDescent="0.25">
      <c r="B30" s="12">
        <f>SUM(B22:B29)</f>
        <v>20000</v>
      </c>
      <c r="C30" s="16">
        <f>SUM(C22:C29)</f>
        <v>0</v>
      </c>
      <c r="D30" s="18">
        <f>SUM(D22:D29)</f>
        <v>0</v>
      </c>
      <c r="E30" s="12">
        <f>SUM(E22:E29)</f>
        <v>20000</v>
      </c>
    </row>
    <row r="32" spans="1:11" x14ac:dyDescent="0.25">
      <c r="A32" s="2" t="s">
        <v>14</v>
      </c>
      <c r="B32" s="6">
        <v>1</v>
      </c>
      <c r="C32" s="6">
        <v>2</v>
      </c>
      <c r="D32" s="6">
        <v>3</v>
      </c>
      <c r="E32" s="6">
        <v>4</v>
      </c>
      <c r="F32" s="6">
        <v>5</v>
      </c>
      <c r="G32" s="6">
        <v>6</v>
      </c>
      <c r="H32" s="6">
        <v>7</v>
      </c>
      <c r="I32" s="6">
        <v>8</v>
      </c>
      <c r="J32" s="6">
        <v>9</v>
      </c>
      <c r="K32" s="6">
        <v>10</v>
      </c>
    </row>
    <row r="33" spans="1:11" s="2" customFormat="1" x14ac:dyDescent="0.25">
      <c r="A33" s="2" t="s">
        <v>56</v>
      </c>
      <c r="B33" s="16">
        <f>$E$18+($E$30*12)</f>
        <v>740000</v>
      </c>
      <c r="C33" s="16">
        <f t="shared" ref="C33:K33" si="4">$E$30*12*(1+$B$6)^(C32-1)</f>
        <v>261600.00000000003</v>
      </c>
      <c r="D33" s="16">
        <f t="shared" si="4"/>
        <v>285144.00000000006</v>
      </c>
      <c r="E33" s="16">
        <f t="shared" si="4"/>
        <v>310806.96000000002</v>
      </c>
      <c r="F33" s="16">
        <f t="shared" si="4"/>
        <v>338779.58640000009</v>
      </c>
      <c r="G33" s="16">
        <f t="shared" si="4"/>
        <v>369269.74917600013</v>
      </c>
      <c r="H33" s="16">
        <f t="shared" si="4"/>
        <v>402504.02660184016</v>
      </c>
      <c r="I33" s="16">
        <f t="shared" si="4"/>
        <v>438729.38899600576</v>
      </c>
      <c r="J33" s="16">
        <f t="shared" si="4"/>
        <v>478215.0340056463</v>
      </c>
      <c r="K33" s="16">
        <f t="shared" si="4"/>
        <v>521254.38706615451</v>
      </c>
    </row>
    <row r="34" spans="1:11" s="2" customFormat="1" x14ac:dyDescent="0.25">
      <c r="A34" s="2" t="s">
        <v>81</v>
      </c>
      <c r="B34" s="14">
        <f>B33</f>
        <v>740000</v>
      </c>
      <c r="C34" s="14">
        <f>B34+C33</f>
        <v>1001600</v>
      </c>
      <c r="D34" s="14">
        <f t="shared" ref="D34:K34" si="5">C34+D33</f>
        <v>1286744</v>
      </c>
      <c r="E34" s="14">
        <f t="shared" si="5"/>
        <v>1597550.96</v>
      </c>
      <c r="F34" s="14">
        <f>E34+F33</f>
        <v>1936330.5464000001</v>
      </c>
      <c r="G34" s="14">
        <f t="shared" si="5"/>
        <v>2305600.2955760001</v>
      </c>
      <c r="H34" s="14">
        <f t="shared" si="5"/>
        <v>2708104.3221778404</v>
      </c>
      <c r="I34" s="14">
        <f t="shared" si="5"/>
        <v>3146833.7111738464</v>
      </c>
      <c r="J34" s="14">
        <f t="shared" si="5"/>
        <v>3625048.7451794925</v>
      </c>
      <c r="K34" s="14">
        <f t="shared" si="5"/>
        <v>4146303.1322456468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9"/>
  <sheetViews>
    <sheetView zoomScaleNormal="100" workbookViewId="0">
      <selection activeCell="A5" sqref="A5:B17"/>
    </sheetView>
  </sheetViews>
  <sheetFormatPr defaultRowHeight="15" x14ac:dyDescent="0.25"/>
  <cols>
    <col min="1" max="1" width="38.7109375" style="57" customWidth="1"/>
    <col min="2" max="11" width="15.7109375" customWidth="1"/>
    <col min="12" max="12" width="13.42578125" customWidth="1"/>
  </cols>
  <sheetData>
    <row r="2" spans="1:3" x14ac:dyDescent="0.25">
      <c r="A2" s="57" t="s">
        <v>82</v>
      </c>
      <c r="B2" s="38">
        <f>Summary!B7</f>
        <v>15100000</v>
      </c>
    </row>
    <row r="3" spans="1:3" x14ac:dyDescent="0.25">
      <c r="A3" s="57" t="s">
        <v>83</v>
      </c>
      <c r="B3" s="55">
        <f>Summary!B8</f>
        <v>2.5000000000000001E-2</v>
      </c>
    </row>
    <row r="4" spans="1:3" x14ac:dyDescent="0.25">
      <c r="B4" s="55"/>
    </row>
    <row r="5" spans="1:3" x14ac:dyDescent="0.25">
      <c r="A5" s="57" t="s">
        <v>240</v>
      </c>
      <c r="B5" s="92">
        <v>0.01</v>
      </c>
      <c r="C5" s="53" t="s">
        <v>243</v>
      </c>
    </row>
    <row r="6" spans="1:3" x14ac:dyDescent="0.25">
      <c r="A6" s="57" t="s">
        <v>239</v>
      </c>
      <c r="B6" s="92">
        <v>0.05</v>
      </c>
      <c r="C6" s="78" t="s">
        <v>84</v>
      </c>
    </row>
    <row r="7" spans="1:3" x14ac:dyDescent="0.25">
      <c r="A7" s="57" t="s">
        <v>241</v>
      </c>
      <c r="B7" s="100">
        <v>5</v>
      </c>
      <c r="C7" s="78" t="s">
        <v>85</v>
      </c>
    </row>
    <row r="8" spans="1:3" x14ac:dyDescent="0.25">
      <c r="A8" s="57" t="s">
        <v>242</v>
      </c>
      <c r="B8" s="103">
        <v>0.01</v>
      </c>
      <c r="C8" s="53" t="s">
        <v>86</v>
      </c>
    </row>
    <row r="9" spans="1:3" x14ac:dyDescent="0.25">
      <c r="B9" s="9"/>
    </row>
    <row r="10" spans="1:3" x14ac:dyDescent="0.25">
      <c r="A10" s="57" t="s">
        <v>87</v>
      </c>
      <c r="B10" s="95">
        <v>1371</v>
      </c>
      <c r="C10" s="78" t="s">
        <v>88</v>
      </c>
    </row>
    <row r="11" spans="1:3" x14ac:dyDescent="0.25">
      <c r="A11" s="57" t="s">
        <v>89</v>
      </c>
      <c r="B11" s="83">
        <v>200</v>
      </c>
      <c r="C11" s="53" t="s">
        <v>90</v>
      </c>
    </row>
    <row r="12" spans="1:3" x14ac:dyDescent="0.25">
      <c r="A12" s="57" t="s">
        <v>91</v>
      </c>
      <c r="B12" s="83">
        <v>50</v>
      </c>
      <c r="C12" s="53" t="s">
        <v>92</v>
      </c>
    </row>
    <row r="13" spans="1:3" x14ac:dyDescent="0.25">
      <c r="B13" s="10"/>
    </row>
    <row r="14" spans="1:3" x14ac:dyDescent="0.25">
      <c r="A14" s="57" t="s">
        <v>0</v>
      </c>
      <c r="B14" s="55">
        <f>Summary!$B$2</f>
        <v>0.09</v>
      </c>
    </row>
    <row r="15" spans="1:3" x14ac:dyDescent="0.25">
      <c r="B15" s="55"/>
    </row>
    <row r="16" spans="1:3" x14ac:dyDescent="0.25">
      <c r="A16" s="57" t="s">
        <v>244</v>
      </c>
      <c r="B16" s="93">
        <v>1</v>
      </c>
      <c r="C16" s="53" t="s">
        <v>256</v>
      </c>
    </row>
    <row r="17" spans="1:13" x14ac:dyDescent="0.25">
      <c r="A17" s="57" t="s">
        <v>236</v>
      </c>
      <c r="B17" s="93">
        <v>1</v>
      </c>
      <c r="C17" s="53" t="s">
        <v>257</v>
      </c>
    </row>
    <row r="18" spans="1:13" x14ac:dyDescent="0.25">
      <c r="B18" s="1"/>
    </row>
    <row r="19" spans="1:13" x14ac:dyDescent="0.25">
      <c r="A19" s="3" t="s">
        <v>14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104" t="s">
        <v>258</v>
      </c>
      <c r="M19" s="104" t="s">
        <v>259</v>
      </c>
    </row>
    <row r="20" spans="1:13" x14ac:dyDescent="0.25">
      <c r="A20" s="57" t="s">
        <v>93</v>
      </c>
      <c r="B20" s="4">
        <f>$B$2*(1+$B$3)^(B19-1)</f>
        <v>15100000</v>
      </c>
      <c r="C20" s="4">
        <f t="shared" ref="C20:K20" si="0">$B$2*(1+$B$3)^(C19-1)</f>
        <v>15477499.999999998</v>
      </c>
      <c r="D20" s="4">
        <f t="shared" si="0"/>
        <v>15864437.499999998</v>
      </c>
      <c r="E20" s="4">
        <f t="shared" si="0"/>
        <v>16261048.437499998</v>
      </c>
      <c r="F20" s="4">
        <f t="shared" si="0"/>
        <v>16667574.648437496</v>
      </c>
      <c r="G20" s="4">
        <f t="shared" si="0"/>
        <v>17084264.014648434</v>
      </c>
      <c r="H20" s="4">
        <f t="shared" si="0"/>
        <v>17511370.615014642</v>
      </c>
      <c r="I20" s="4">
        <f t="shared" si="0"/>
        <v>17949154.880390007</v>
      </c>
      <c r="J20" s="4">
        <f t="shared" si="0"/>
        <v>18397883.752399758</v>
      </c>
      <c r="K20" s="4">
        <f t="shared" si="0"/>
        <v>18857830.84620975</v>
      </c>
    </row>
    <row r="21" spans="1:13" x14ac:dyDescent="0.25">
      <c r="A21" s="57" t="s">
        <v>237</v>
      </c>
      <c r="B21" s="4">
        <f>B20*$B$17</f>
        <v>15100000</v>
      </c>
      <c r="C21" s="4">
        <f t="shared" ref="C21:K21" si="1">C20*$B$17</f>
        <v>15477499.999999998</v>
      </c>
      <c r="D21" s="4">
        <f t="shared" si="1"/>
        <v>15864437.499999998</v>
      </c>
      <c r="E21" s="4">
        <f t="shared" si="1"/>
        <v>16261048.437499998</v>
      </c>
      <c r="F21" s="4">
        <f t="shared" si="1"/>
        <v>16667574.648437496</v>
      </c>
      <c r="G21" s="4">
        <f t="shared" si="1"/>
        <v>17084264.014648434</v>
      </c>
      <c r="H21" s="4">
        <f t="shared" si="1"/>
        <v>17511370.615014642</v>
      </c>
      <c r="I21" s="4">
        <f t="shared" si="1"/>
        <v>17949154.880390007</v>
      </c>
      <c r="J21" s="4">
        <f t="shared" si="1"/>
        <v>18397883.752399758</v>
      </c>
      <c r="K21" s="4">
        <f t="shared" si="1"/>
        <v>18857830.84620975</v>
      </c>
    </row>
    <row r="22" spans="1:13" x14ac:dyDescent="0.25">
      <c r="A22" s="57" t="s">
        <v>245</v>
      </c>
      <c r="B22" s="4">
        <f>B21+IF(B20*$B$3&gt;0,B20*$B$3,0)+(B21*$B$8)</f>
        <v>15628500</v>
      </c>
      <c r="C22" s="4">
        <f>IF(C21-B21&gt;0,C21-B21,0)+(C21*$B$8)</f>
        <v>532274.99999999814</v>
      </c>
      <c r="D22" s="4">
        <f t="shared" ref="D22:K22" si="2">IF(D21-C21&gt;0,D21-C21,0)+(D21*$B$8)</f>
        <v>545581.875</v>
      </c>
      <c r="E22" s="4">
        <f t="shared" si="2"/>
        <v>559221.421875</v>
      </c>
      <c r="F22" s="4">
        <f t="shared" si="2"/>
        <v>573201.95742187311</v>
      </c>
      <c r="G22" s="4">
        <f t="shared" si="2"/>
        <v>587532.00635742187</v>
      </c>
      <c r="H22" s="4">
        <f t="shared" si="2"/>
        <v>602220.30651635514</v>
      </c>
      <c r="I22" s="4">
        <f t="shared" si="2"/>
        <v>617275.81417926471</v>
      </c>
      <c r="J22" s="4">
        <f t="shared" si="2"/>
        <v>632707.70953374798</v>
      </c>
      <c r="K22" s="4">
        <f t="shared" si="2"/>
        <v>648525.40227208962</v>
      </c>
    </row>
    <row r="23" spans="1:13" x14ac:dyDescent="0.25">
      <c r="A23" s="57" t="s">
        <v>246</v>
      </c>
      <c r="B23" s="4"/>
      <c r="C23" s="4">
        <f ca="1">IF(C19&gt;$B$7,OFFSET(C23,-1,-$B$7,1,1)+OFFSET(C23,0,-$B$7,1,1),0)</f>
        <v>0</v>
      </c>
      <c r="D23" s="4">
        <f t="shared" ref="D23:K23" ca="1" si="3">IF(D19&gt;$B$7,OFFSET(D23,-1,-$B$7,1,1)+OFFSET(D23,0,-$B$7,1,1),0)</f>
        <v>0</v>
      </c>
      <c r="E23" s="4">
        <f t="shared" ca="1" si="3"/>
        <v>0</v>
      </c>
      <c r="F23" s="4">
        <f t="shared" ca="1" si="3"/>
        <v>0</v>
      </c>
      <c r="G23" s="4">
        <f t="shared" ca="1" si="3"/>
        <v>15628500</v>
      </c>
      <c r="H23" s="4">
        <f t="shared" ca="1" si="3"/>
        <v>532274.99999999814</v>
      </c>
      <c r="I23" s="4">
        <f t="shared" ca="1" si="3"/>
        <v>545581.875</v>
      </c>
      <c r="J23" s="4">
        <f t="shared" ca="1" si="3"/>
        <v>559221.421875</v>
      </c>
      <c r="K23" s="4">
        <f t="shared" ca="1" si="3"/>
        <v>573201.95742187311</v>
      </c>
    </row>
    <row r="24" spans="1:13" x14ac:dyDescent="0.25">
      <c r="A24" s="57" t="s">
        <v>248</v>
      </c>
      <c r="B24" s="4">
        <f>B2*B16</f>
        <v>15100000</v>
      </c>
      <c r="C24" s="4">
        <f>C22</f>
        <v>532274.99999999814</v>
      </c>
      <c r="D24" s="4">
        <f t="shared" ref="D24:K24" si="4">D22</f>
        <v>545581.875</v>
      </c>
      <c r="E24" s="4">
        <f t="shared" si="4"/>
        <v>559221.421875</v>
      </c>
      <c r="F24" s="4">
        <f t="shared" si="4"/>
        <v>573201.95742187311</v>
      </c>
      <c r="G24" s="4">
        <f t="shared" si="4"/>
        <v>587532.00635742187</v>
      </c>
      <c r="H24" s="4">
        <f t="shared" si="4"/>
        <v>602220.30651635514</v>
      </c>
      <c r="I24" s="4">
        <f t="shared" si="4"/>
        <v>617275.81417926471</v>
      </c>
      <c r="J24" s="4">
        <f t="shared" si="4"/>
        <v>632707.70953374798</v>
      </c>
      <c r="K24" s="4">
        <f t="shared" si="4"/>
        <v>648525.40227208962</v>
      </c>
    </row>
    <row r="25" spans="1:13" x14ac:dyDescent="0.25">
      <c r="A25" s="57" t="s">
        <v>238</v>
      </c>
      <c r="B25" s="13">
        <f>B10*B11+B10*B12*12</f>
        <v>1096800</v>
      </c>
      <c r="C25" s="4">
        <f>$B$10*$B$12*12*(1+$B$14)^(C19-1)</f>
        <v>896634.00000000012</v>
      </c>
      <c r="D25" s="4">
        <f t="shared" ref="D25:K25" si="5">$B$10*$B$12*12*(1+$B$14)^(D19-1)</f>
        <v>977331.06000000017</v>
      </c>
      <c r="E25" s="4">
        <f t="shared" si="5"/>
        <v>1065290.8554000002</v>
      </c>
      <c r="F25" s="4">
        <f t="shared" si="5"/>
        <v>1161167.0323860003</v>
      </c>
      <c r="G25" s="4">
        <f t="shared" si="5"/>
        <v>1265672.0653007403</v>
      </c>
      <c r="H25" s="4">
        <f t="shared" si="5"/>
        <v>1379582.5511778072</v>
      </c>
      <c r="I25" s="4">
        <f t="shared" si="5"/>
        <v>1503744.9807838097</v>
      </c>
      <c r="J25" s="4">
        <f t="shared" si="5"/>
        <v>1639082.0290543528</v>
      </c>
      <c r="K25" s="4">
        <f t="shared" si="5"/>
        <v>1786599.4116692445</v>
      </c>
      <c r="L25" s="90">
        <f>SUM(B25:K25)</f>
        <v>12771903.985771956</v>
      </c>
      <c r="M25" s="91">
        <f ca="1">L25/K28</f>
        <v>0.81727056184343827</v>
      </c>
    </row>
    <row r="26" spans="1:13" x14ac:dyDescent="0.25">
      <c r="A26" s="57" t="s">
        <v>247</v>
      </c>
      <c r="B26" s="13">
        <f>(B22+B23)*($B$6) + B24*$B$5</f>
        <v>932425</v>
      </c>
      <c r="C26" s="13">
        <f ca="1">((C22+C23)*$B$6 + C24*$B$5)*(1+$B$14)^(C19-1)</f>
        <v>34810.784999999887</v>
      </c>
      <c r="D26" s="13">
        <f t="shared" ref="D26:K26" ca="1" si="6">((D22+D23)*$B$6 + D24*$B$5)*(1+$B$14)^(D19-1)</f>
        <v>38892.349541250005</v>
      </c>
      <c r="E26" s="13">
        <f t="shared" ca="1" si="6"/>
        <v>43452.477524961578</v>
      </c>
      <c r="F26" s="13">
        <f t="shared" ca="1" si="6"/>
        <v>48547.280514763159</v>
      </c>
      <c r="G26" s="13">
        <f t="shared" ca="1" si="6"/>
        <v>1256558.6731128525</v>
      </c>
      <c r="H26" s="13">
        <f t="shared" ca="1" si="6"/>
        <v>105232.94764345136</v>
      </c>
      <c r="I26" s="13">
        <f t="shared" ca="1" si="6"/>
        <v>117571.51075464628</v>
      </c>
      <c r="J26" s="13">
        <f t="shared" ca="1" si="6"/>
        <v>131356.77039062878</v>
      </c>
      <c r="K26" s="13">
        <f t="shared" ca="1" si="6"/>
        <v>146758.35171892954</v>
      </c>
      <c r="L26" s="90">
        <f ca="1">SUM(B26:K26)</f>
        <v>2855606.1462014834</v>
      </c>
      <c r="M26" s="91">
        <f ca="1">L26/K28</f>
        <v>0.18272943815656181</v>
      </c>
    </row>
    <row r="27" spans="1:13" x14ac:dyDescent="0.25">
      <c r="A27" s="3" t="s">
        <v>56</v>
      </c>
      <c r="B27" s="11">
        <f>B25+B26</f>
        <v>2029225</v>
      </c>
      <c r="C27" s="11">
        <f ca="1">C25+C26</f>
        <v>931444.78500000003</v>
      </c>
      <c r="D27" s="11">
        <f t="shared" ref="D27:K27" ca="1" si="7">D25+D26</f>
        <v>1016223.4095412502</v>
      </c>
      <c r="E27" s="11">
        <f t="shared" ca="1" si="7"/>
        <v>1108743.3329249618</v>
      </c>
      <c r="F27" s="11">
        <f t="shared" ca="1" si="7"/>
        <v>1209714.3129007635</v>
      </c>
      <c r="G27" s="11">
        <f t="shared" ca="1" si="7"/>
        <v>2522230.7384135928</v>
      </c>
      <c r="H27" s="11">
        <f t="shared" ca="1" si="7"/>
        <v>1484815.4988212585</v>
      </c>
      <c r="I27" s="11">
        <f t="shared" ca="1" si="7"/>
        <v>1621316.4915384559</v>
      </c>
      <c r="J27" s="11">
        <f t="shared" ca="1" si="7"/>
        <v>1770438.7994449816</v>
      </c>
      <c r="K27" s="11">
        <f t="shared" ca="1" si="7"/>
        <v>1933357.7633881741</v>
      </c>
      <c r="L27" s="90">
        <f ca="1">SUM(B27:K27)</f>
        <v>15627510.131973438</v>
      </c>
      <c r="M27" s="91">
        <f ca="1">L27/K28</f>
        <v>1</v>
      </c>
    </row>
    <row r="28" spans="1:13" x14ac:dyDescent="0.25">
      <c r="A28" s="3" t="s">
        <v>94</v>
      </c>
      <c r="B28" s="11">
        <f>B27</f>
        <v>2029225</v>
      </c>
      <c r="C28" s="11">
        <f ca="1">B28+C27</f>
        <v>2960669.7850000001</v>
      </c>
      <c r="D28" s="11">
        <f t="shared" ref="D28:K28" ca="1" si="8">C28+D27</f>
        <v>3976893.1945412504</v>
      </c>
      <c r="E28" s="11">
        <f t="shared" ca="1" si="8"/>
        <v>5085636.5274662124</v>
      </c>
      <c r="F28" s="11">
        <f t="shared" ca="1" si="8"/>
        <v>6295350.8403669763</v>
      </c>
      <c r="G28" s="11">
        <f t="shared" ca="1" si="8"/>
        <v>8817581.5787805691</v>
      </c>
      <c r="H28" s="11">
        <f t="shared" ca="1" si="8"/>
        <v>10302397.077601828</v>
      </c>
      <c r="I28" s="11">
        <f t="shared" ca="1" si="8"/>
        <v>11923713.569140283</v>
      </c>
      <c r="J28" s="11">
        <f t="shared" ca="1" si="8"/>
        <v>13694152.368585264</v>
      </c>
      <c r="K28" s="11">
        <f t="shared" ca="1" si="8"/>
        <v>15627510.131973438</v>
      </c>
    </row>
    <row r="29" spans="1:13" x14ac:dyDescent="0.25">
      <c r="C29" s="74"/>
    </row>
  </sheetData>
  <pageMargins left="0.7" right="0.7" top="0.75" bottom="0.75" header="0.3" footer="0.3"/>
  <customProperties>
    <customPr name="LastActiv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>
      <selection activeCell="A2" sqref="A2:B11"/>
    </sheetView>
  </sheetViews>
  <sheetFormatPr defaultRowHeight="15" x14ac:dyDescent="0.25"/>
  <cols>
    <col min="1" max="1" width="39.7109375" customWidth="1"/>
    <col min="2" max="11" width="15.7109375" customWidth="1"/>
    <col min="12" max="12" width="14.28515625" customWidth="1"/>
  </cols>
  <sheetData>
    <row r="1" spans="1:13" x14ac:dyDescent="0.25">
      <c r="A1" s="53" t="s">
        <v>95</v>
      </c>
    </row>
    <row r="2" spans="1:13" x14ac:dyDescent="0.25">
      <c r="A2" s="57" t="s">
        <v>96</v>
      </c>
      <c r="B2" s="95">
        <v>2</v>
      </c>
      <c r="C2" s="53" t="s">
        <v>97</v>
      </c>
    </row>
    <row r="3" spans="1:13" x14ac:dyDescent="0.25">
      <c r="A3" s="57" t="s">
        <v>98</v>
      </c>
      <c r="B3" s="83">
        <v>10000</v>
      </c>
      <c r="C3" s="53" t="s">
        <v>99</v>
      </c>
    </row>
    <row r="4" spans="1:13" x14ac:dyDescent="0.25">
      <c r="A4" s="57" t="s">
        <v>100</v>
      </c>
      <c r="B4" s="93">
        <v>0.15</v>
      </c>
      <c r="C4" s="53" t="s">
        <v>101</v>
      </c>
    </row>
    <row r="5" spans="1:13" x14ac:dyDescent="0.25">
      <c r="A5" s="57"/>
      <c r="B5" s="8"/>
    </row>
    <row r="6" spans="1:13" x14ac:dyDescent="0.25">
      <c r="A6" s="57" t="s">
        <v>0</v>
      </c>
      <c r="B6" s="55">
        <f>Summary!$B$2</f>
        <v>0.09</v>
      </c>
    </row>
    <row r="7" spans="1:13" x14ac:dyDescent="0.25">
      <c r="A7" s="57"/>
      <c r="B7" s="9"/>
    </row>
    <row r="8" spans="1:13" x14ac:dyDescent="0.25">
      <c r="A8" s="57" t="s">
        <v>102</v>
      </c>
      <c r="B8" s="38">
        <f>Summary!B5</f>
        <v>6716</v>
      </c>
    </row>
    <row r="9" spans="1:13" x14ac:dyDescent="0.25">
      <c r="A9" s="57" t="s">
        <v>103</v>
      </c>
      <c r="B9" s="55">
        <f>Summary!B6</f>
        <v>2.5000000000000001E-2</v>
      </c>
    </row>
    <row r="10" spans="1:13" x14ac:dyDescent="0.25">
      <c r="A10" s="57" t="s">
        <v>104</v>
      </c>
      <c r="B10" s="95">
        <v>2</v>
      </c>
      <c r="C10" s="53" t="s">
        <v>105</v>
      </c>
    </row>
    <row r="11" spans="1:13" x14ac:dyDescent="0.25">
      <c r="A11" s="57" t="s">
        <v>106</v>
      </c>
      <c r="B11" s="92">
        <v>5</v>
      </c>
      <c r="C11" s="53" t="s">
        <v>107</v>
      </c>
    </row>
    <row r="12" spans="1:13" x14ac:dyDescent="0.25">
      <c r="A12" s="57"/>
    </row>
    <row r="13" spans="1:13" x14ac:dyDescent="0.25">
      <c r="A13" s="3" t="s">
        <v>14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4" t="s">
        <v>258</v>
      </c>
      <c r="M13" s="104" t="s">
        <v>259</v>
      </c>
    </row>
    <row r="14" spans="1:13" x14ac:dyDescent="0.25">
      <c r="A14" s="57" t="s">
        <v>108</v>
      </c>
      <c r="B14" s="4">
        <f>B8</f>
        <v>6716</v>
      </c>
      <c r="C14" s="4">
        <f t="shared" ref="C14:K14" si="0">B14*(1+$B$9)</f>
        <v>6883.9</v>
      </c>
      <c r="D14" s="4">
        <f t="shared" si="0"/>
        <v>7055.9974999999986</v>
      </c>
      <c r="E14" s="4">
        <f t="shared" si="0"/>
        <v>7232.397437499998</v>
      </c>
      <c r="F14" s="4">
        <f t="shared" si="0"/>
        <v>7413.2073734374972</v>
      </c>
      <c r="G14" s="4">
        <f t="shared" si="0"/>
        <v>7598.5375577734339</v>
      </c>
      <c r="H14" s="4">
        <f t="shared" si="0"/>
        <v>7788.5009967177693</v>
      </c>
      <c r="I14" s="4">
        <f t="shared" si="0"/>
        <v>7983.2135216357128</v>
      </c>
      <c r="J14" s="4">
        <f t="shared" si="0"/>
        <v>8182.7938596766053</v>
      </c>
      <c r="K14" s="4">
        <f t="shared" si="0"/>
        <v>8387.3637061685204</v>
      </c>
    </row>
    <row r="15" spans="1:13" x14ac:dyDescent="0.25">
      <c r="A15" s="57" t="s">
        <v>109</v>
      </c>
      <c r="B15" s="4">
        <f>B14*$B$10</f>
        <v>13432</v>
      </c>
      <c r="C15" s="4">
        <f t="shared" ref="C15:K15" si="1">C14*$B$10</f>
        <v>13767.8</v>
      </c>
      <c r="D15" s="4">
        <f t="shared" si="1"/>
        <v>14111.994999999997</v>
      </c>
      <c r="E15" s="4">
        <f t="shared" si="1"/>
        <v>14464.794874999996</v>
      </c>
      <c r="F15" s="4">
        <f t="shared" si="1"/>
        <v>14826.414746874994</v>
      </c>
      <c r="G15" s="4">
        <f t="shared" si="1"/>
        <v>15197.075115546868</v>
      </c>
      <c r="H15" s="4">
        <f t="shared" si="1"/>
        <v>15577.001993435539</v>
      </c>
      <c r="I15" s="4">
        <f t="shared" si="1"/>
        <v>15966.427043271426</v>
      </c>
      <c r="J15" s="4">
        <f t="shared" si="1"/>
        <v>16365.587719353211</v>
      </c>
      <c r="K15" s="4">
        <f t="shared" si="1"/>
        <v>16774.727412337041</v>
      </c>
    </row>
    <row r="16" spans="1:13" x14ac:dyDescent="0.25">
      <c r="A16" s="57" t="s">
        <v>110</v>
      </c>
      <c r="B16" s="13">
        <f>B15*$B$11</f>
        <v>67160</v>
      </c>
      <c r="C16" s="13">
        <f>C15*$B$11*(1+$B$6)^(C$13-1)</f>
        <v>75034.510000000009</v>
      </c>
      <c r="D16" s="13">
        <f t="shared" ref="D16:K16" si="2">D15*$B$11*(1+$B$6)^(D$13-1)</f>
        <v>83832.306297500007</v>
      </c>
      <c r="E16" s="13">
        <f t="shared" si="2"/>
        <v>93661.644210881859</v>
      </c>
      <c r="F16" s="13">
        <f t="shared" si="2"/>
        <v>104643.47199460777</v>
      </c>
      <c r="G16" s="13">
        <f t="shared" si="2"/>
        <v>116912.91908597553</v>
      </c>
      <c r="H16" s="13">
        <f t="shared" si="2"/>
        <v>130620.95884880616</v>
      </c>
      <c r="I16" s="13">
        <f t="shared" si="2"/>
        <v>145936.26627382866</v>
      </c>
      <c r="J16" s="13">
        <f t="shared" si="2"/>
        <v>163047.29349443506</v>
      </c>
      <c r="K16" s="13">
        <f t="shared" si="2"/>
        <v>182164.58865665761</v>
      </c>
      <c r="L16" s="90">
        <f>SUM(B16:K16)</f>
        <v>1163013.9588626926</v>
      </c>
      <c r="M16" s="91">
        <f>L16/K19</f>
        <v>0.9489399808750616</v>
      </c>
    </row>
    <row r="17" spans="1:13" x14ac:dyDescent="0.25">
      <c r="A17" s="57" t="s">
        <v>111</v>
      </c>
      <c r="B17" s="13">
        <f>B2*B3</f>
        <v>20000</v>
      </c>
      <c r="C17" s="13">
        <f>$B$17*$B$4*(1+$B$6)^(C$13-1)</f>
        <v>3270.0000000000005</v>
      </c>
      <c r="D17" s="13">
        <f t="shared" ref="D17:K17" si="3">$B$17*$B$4*(1+$B$6)^(D$13-1)</f>
        <v>3564.3000000000006</v>
      </c>
      <c r="E17" s="13">
        <f t="shared" si="3"/>
        <v>3885.0870000000004</v>
      </c>
      <c r="F17" s="13">
        <f t="shared" si="3"/>
        <v>4234.7448300000005</v>
      </c>
      <c r="G17" s="13">
        <f t="shared" si="3"/>
        <v>4615.8718647000014</v>
      </c>
      <c r="H17" s="13">
        <f t="shared" si="3"/>
        <v>5031.300332523002</v>
      </c>
      <c r="I17" s="13">
        <f t="shared" si="3"/>
        <v>5484.1173624500716</v>
      </c>
      <c r="J17" s="13">
        <f t="shared" si="3"/>
        <v>5977.6879250705788</v>
      </c>
      <c r="K17" s="13">
        <f t="shared" si="3"/>
        <v>6515.6798383269315</v>
      </c>
      <c r="L17" s="90">
        <f t="shared" ref="L17:L18" si="4">SUM(B17:K17)</f>
        <v>62578.789153070582</v>
      </c>
      <c r="M17" s="91">
        <f>L17/K19</f>
        <v>5.1060019124938322E-2</v>
      </c>
    </row>
    <row r="18" spans="1:13" x14ac:dyDescent="0.25">
      <c r="A18" s="3" t="s">
        <v>56</v>
      </c>
      <c r="B18" s="14">
        <f>B16+B17</f>
        <v>87160</v>
      </c>
      <c r="C18" s="14">
        <f>(C16+C17)</f>
        <v>78304.510000000009</v>
      </c>
      <c r="D18" s="14">
        <f t="shared" ref="D18:K18" si="5">(D16+D17)</f>
        <v>87396.60629750001</v>
      </c>
      <c r="E18" s="14">
        <f t="shared" si="5"/>
        <v>97546.731210881859</v>
      </c>
      <c r="F18" s="14">
        <f t="shared" si="5"/>
        <v>108878.21682460776</v>
      </c>
      <c r="G18" s="14">
        <f t="shared" si="5"/>
        <v>121528.79095067554</v>
      </c>
      <c r="H18" s="14">
        <f t="shared" si="5"/>
        <v>135652.25918132917</v>
      </c>
      <c r="I18" s="14">
        <f t="shared" si="5"/>
        <v>151420.38363627874</v>
      </c>
      <c r="J18" s="14">
        <f t="shared" si="5"/>
        <v>169024.98141950564</v>
      </c>
      <c r="K18" s="14">
        <f t="shared" si="5"/>
        <v>188680.26849498454</v>
      </c>
      <c r="L18" s="90">
        <f t="shared" si="4"/>
        <v>1225592.7480157632</v>
      </c>
      <c r="M18" s="91">
        <f>L18/K19</f>
        <v>1</v>
      </c>
    </row>
    <row r="19" spans="1:13" x14ac:dyDescent="0.25">
      <c r="A19" s="3" t="s">
        <v>94</v>
      </c>
      <c r="B19" s="14">
        <f>B18</f>
        <v>87160</v>
      </c>
      <c r="C19" s="14">
        <f>B19+C18</f>
        <v>165464.51</v>
      </c>
      <c r="D19" s="14">
        <f t="shared" ref="D19:K19" si="6">C19+D18</f>
        <v>252861.11629750003</v>
      </c>
      <c r="E19" s="14">
        <f t="shared" si="6"/>
        <v>350407.84750838188</v>
      </c>
      <c r="F19" s="14">
        <f t="shared" si="6"/>
        <v>459286.06433298963</v>
      </c>
      <c r="G19" s="14">
        <f t="shared" si="6"/>
        <v>580814.85528366512</v>
      </c>
      <c r="H19" s="14">
        <f t="shared" si="6"/>
        <v>716467.11446499429</v>
      </c>
      <c r="I19" s="14">
        <f t="shared" si="6"/>
        <v>867887.49810127309</v>
      </c>
      <c r="J19" s="14">
        <f t="shared" si="6"/>
        <v>1036912.4795207788</v>
      </c>
      <c r="K19" s="14">
        <f t="shared" si="6"/>
        <v>1225592.7480157632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Normal="100" workbookViewId="0">
      <selection activeCell="A2" sqref="A2:B11"/>
    </sheetView>
  </sheetViews>
  <sheetFormatPr defaultRowHeight="15" x14ac:dyDescent="0.25"/>
  <cols>
    <col min="1" max="1" width="40.140625" customWidth="1"/>
    <col min="2" max="11" width="15.7109375" customWidth="1"/>
    <col min="12" max="12" width="14.28515625" customWidth="1"/>
    <col min="13" max="13" width="11.5703125" customWidth="1"/>
  </cols>
  <sheetData>
    <row r="1" spans="1:13" x14ac:dyDescent="0.25">
      <c r="A1" s="53" t="s">
        <v>112</v>
      </c>
    </row>
    <row r="2" spans="1:13" x14ac:dyDescent="0.25">
      <c r="A2" s="57" t="s">
        <v>113</v>
      </c>
      <c r="B2" s="95">
        <v>4</v>
      </c>
      <c r="C2" s="53" t="s">
        <v>114</v>
      </c>
    </row>
    <row r="3" spans="1:13" x14ac:dyDescent="0.25">
      <c r="A3" s="57" t="s">
        <v>98</v>
      </c>
      <c r="B3" s="83">
        <v>10000</v>
      </c>
      <c r="C3" s="53" t="s">
        <v>99</v>
      </c>
    </row>
    <row r="4" spans="1:13" x14ac:dyDescent="0.25">
      <c r="A4" s="57" t="s">
        <v>100</v>
      </c>
      <c r="B4" s="93">
        <v>0.15</v>
      </c>
      <c r="C4" s="53" t="s">
        <v>101</v>
      </c>
    </row>
    <row r="5" spans="1:13" x14ac:dyDescent="0.25">
      <c r="A5" s="57"/>
      <c r="B5" s="8"/>
    </row>
    <row r="6" spans="1:13" x14ac:dyDescent="0.25">
      <c r="A6" s="57" t="s">
        <v>0</v>
      </c>
      <c r="B6" s="55">
        <f>Summary!$B$2</f>
        <v>0.09</v>
      </c>
    </row>
    <row r="7" spans="1:13" x14ac:dyDescent="0.25">
      <c r="A7" s="57"/>
      <c r="B7" s="9"/>
    </row>
    <row r="8" spans="1:13" x14ac:dyDescent="0.25">
      <c r="A8" s="57" t="s">
        <v>115</v>
      </c>
      <c r="B8" s="38">
        <f>Summary!B9</f>
        <v>20605</v>
      </c>
    </row>
    <row r="9" spans="1:13" x14ac:dyDescent="0.25">
      <c r="A9" s="57" t="s">
        <v>103</v>
      </c>
      <c r="B9" s="55">
        <f>Summary!B10</f>
        <v>2.5000000000000001E-2</v>
      </c>
    </row>
    <row r="10" spans="1:13" x14ac:dyDescent="0.25">
      <c r="A10" s="57" t="s">
        <v>116</v>
      </c>
      <c r="B10" s="95">
        <v>12</v>
      </c>
      <c r="C10" s="53" t="s">
        <v>117</v>
      </c>
    </row>
    <row r="11" spans="1:13" x14ac:dyDescent="0.25">
      <c r="A11" s="57" t="s">
        <v>106</v>
      </c>
      <c r="B11" s="92">
        <v>1</v>
      </c>
      <c r="C11" s="53" t="s">
        <v>107</v>
      </c>
    </row>
    <row r="12" spans="1:13" x14ac:dyDescent="0.25">
      <c r="A12" s="57"/>
    </row>
    <row r="13" spans="1:13" x14ac:dyDescent="0.25">
      <c r="A13" s="3" t="s">
        <v>14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4" t="s">
        <v>258</v>
      </c>
      <c r="M13" s="104" t="s">
        <v>259</v>
      </c>
    </row>
    <row r="14" spans="1:13" x14ac:dyDescent="0.25">
      <c r="A14" s="57" t="s">
        <v>118</v>
      </c>
      <c r="B14" s="4">
        <f>B8</f>
        <v>20605</v>
      </c>
      <c r="C14" s="4">
        <f>B14*(1+$B$9)</f>
        <v>21120.124999999996</v>
      </c>
      <c r="D14" s="4">
        <f t="shared" ref="D14:K14" si="0">C14*(1+$B$9)</f>
        <v>21648.128124999996</v>
      </c>
      <c r="E14" s="4">
        <f t="shared" si="0"/>
        <v>22189.331328124994</v>
      </c>
      <c r="F14" s="4">
        <f t="shared" si="0"/>
        <v>22744.064611328118</v>
      </c>
      <c r="G14" s="4">
        <f t="shared" si="0"/>
        <v>23312.66622661132</v>
      </c>
      <c r="H14" s="4">
        <f t="shared" si="0"/>
        <v>23895.482882276599</v>
      </c>
      <c r="I14" s="4">
        <f t="shared" si="0"/>
        <v>24492.869954333513</v>
      </c>
      <c r="J14" s="4">
        <f t="shared" si="0"/>
        <v>25105.191703191849</v>
      </c>
      <c r="K14" s="4">
        <f t="shared" si="0"/>
        <v>25732.821495771645</v>
      </c>
    </row>
    <row r="15" spans="1:13" x14ac:dyDescent="0.25">
      <c r="A15" s="57" t="s">
        <v>109</v>
      </c>
      <c r="B15" s="4">
        <f>B14*$B$10</f>
        <v>247260</v>
      </c>
      <c r="C15" s="4">
        <f t="shared" ref="C15:K15" si="1">C14*$B$10</f>
        <v>253441.49999999994</v>
      </c>
      <c r="D15" s="4">
        <f t="shared" si="1"/>
        <v>259777.53749999995</v>
      </c>
      <c r="E15" s="4">
        <f t="shared" si="1"/>
        <v>266271.9759374999</v>
      </c>
      <c r="F15" s="4">
        <f t="shared" si="1"/>
        <v>272928.77533593739</v>
      </c>
      <c r="G15" s="4">
        <f t="shared" si="1"/>
        <v>279751.99471933581</v>
      </c>
      <c r="H15" s="4">
        <f t="shared" si="1"/>
        <v>286745.79458731919</v>
      </c>
      <c r="I15" s="4">
        <f t="shared" si="1"/>
        <v>293914.43945200217</v>
      </c>
      <c r="J15" s="4">
        <f t="shared" si="1"/>
        <v>301262.30043830222</v>
      </c>
      <c r="K15" s="4">
        <f t="shared" si="1"/>
        <v>308793.85794925975</v>
      </c>
    </row>
    <row r="16" spans="1:13" x14ac:dyDescent="0.25">
      <c r="A16" s="57" t="s">
        <v>110</v>
      </c>
      <c r="B16" s="13">
        <f>B15*$B$11</f>
        <v>247260</v>
      </c>
      <c r="C16" s="13">
        <f>C15*$B$11*(1+$B$6)^(C$13-1)</f>
        <v>276251.23499999993</v>
      </c>
      <c r="D16" s="13">
        <f t="shared" ref="D16:K16" si="2">D15*$B$11*(1+$B$6)^(D$13-1)</f>
        <v>308641.69230374997</v>
      </c>
      <c r="E16" s="13">
        <f t="shared" si="2"/>
        <v>344829.9307263646</v>
      </c>
      <c r="F16" s="13">
        <f t="shared" si="2"/>
        <v>385261.24010403088</v>
      </c>
      <c r="G16" s="13">
        <f t="shared" si="2"/>
        <v>430433.12050622853</v>
      </c>
      <c r="H16" s="13">
        <f t="shared" si="2"/>
        <v>480901.4038855838</v>
      </c>
      <c r="I16" s="13">
        <f t="shared" si="2"/>
        <v>537287.09349116846</v>
      </c>
      <c r="J16" s="13">
        <f t="shared" si="2"/>
        <v>600284.00520300807</v>
      </c>
      <c r="K16" s="13">
        <f t="shared" si="2"/>
        <v>670667.30481306068</v>
      </c>
      <c r="L16" s="90">
        <f>SUM(B16:K16)</f>
        <v>4281817.0260331947</v>
      </c>
      <c r="M16" s="91">
        <f>L16/K19</f>
        <v>0.97160011356024045</v>
      </c>
    </row>
    <row r="17" spans="1:13" x14ac:dyDescent="0.25">
      <c r="A17" s="57" t="s">
        <v>119</v>
      </c>
      <c r="B17" s="13">
        <f>B2*B3</f>
        <v>40000</v>
      </c>
      <c r="C17" s="13">
        <f>$B$17*$B$4*(1+$B$6)^(C$13-1)</f>
        <v>6540.0000000000009</v>
      </c>
      <c r="D17" s="13">
        <f t="shared" ref="D17:K17" si="3">$B$17*$B$4*(1+$B$6)^(D$13-1)</f>
        <v>7128.6000000000013</v>
      </c>
      <c r="E17" s="13">
        <f t="shared" si="3"/>
        <v>7770.1740000000009</v>
      </c>
      <c r="F17" s="13">
        <f t="shared" si="3"/>
        <v>8469.4896600000011</v>
      </c>
      <c r="G17" s="13">
        <f t="shared" si="3"/>
        <v>9231.7437294000028</v>
      </c>
      <c r="H17" s="13">
        <f t="shared" si="3"/>
        <v>10062.600665046004</v>
      </c>
      <c r="I17" s="13">
        <f t="shared" si="3"/>
        <v>10968.234724900143</v>
      </c>
      <c r="J17" s="13">
        <f t="shared" si="3"/>
        <v>11955.375850141158</v>
      </c>
      <c r="K17" s="13">
        <f t="shared" si="3"/>
        <v>13031.359676653863</v>
      </c>
      <c r="L17" s="90">
        <f>SUM(B17:K17)</f>
        <v>125157.57830614116</v>
      </c>
      <c r="M17" s="91">
        <f>L17/K19</f>
        <v>2.8399886439759492E-2</v>
      </c>
    </row>
    <row r="18" spans="1:13" x14ac:dyDescent="0.25">
      <c r="A18" s="3" t="s">
        <v>56</v>
      </c>
      <c r="B18" s="14">
        <f>B16+B17</f>
        <v>287260</v>
      </c>
      <c r="C18" s="14">
        <f>(C16+C17)</f>
        <v>282791.23499999993</v>
      </c>
      <c r="D18" s="14">
        <f t="shared" ref="D18:K18" si="4">(D16+D17)</f>
        <v>315770.29230374994</v>
      </c>
      <c r="E18" s="14">
        <f t="shared" si="4"/>
        <v>352600.1047263646</v>
      </c>
      <c r="F18" s="14">
        <f t="shared" si="4"/>
        <v>393730.7297640309</v>
      </c>
      <c r="G18" s="14">
        <f t="shared" si="4"/>
        <v>439664.86423562851</v>
      </c>
      <c r="H18" s="14">
        <f t="shared" si="4"/>
        <v>490964.00455062982</v>
      </c>
      <c r="I18" s="14">
        <f t="shared" si="4"/>
        <v>548255.32821606856</v>
      </c>
      <c r="J18" s="14">
        <f t="shared" si="4"/>
        <v>612239.38105314923</v>
      </c>
      <c r="K18" s="14">
        <f t="shared" si="4"/>
        <v>683698.66448971455</v>
      </c>
      <c r="L18" s="90">
        <f>SUM(B18:K18)</f>
        <v>4406974.604339336</v>
      </c>
      <c r="M18" s="91">
        <f>L18/K19</f>
        <v>1</v>
      </c>
    </row>
    <row r="19" spans="1:13" x14ac:dyDescent="0.25">
      <c r="A19" s="3" t="s">
        <v>94</v>
      </c>
      <c r="B19" s="14">
        <f>B18</f>
        <v>287260</v>
      </c>
      <c r="C19" s="14">
        <f>B19+C18</f>
        <v>570051.23499999987</v>
      </c>
      <c r="D19" s="14">
        <f t="shared" ref="D19:K19" si="5">C19+D18</f>
        <v>885821.52730374981</v>
      </c>
      <c r="E19" s="14">
        <f t="shared" si="5"/>
        <v>1238421.6320301145</v>
      </c>
      <c r="F19" s="14">
        <f t="shared" si="5"/>
        <v>1632152.3617941453</v>
      </c>
      <c r="G19" s="14">
        <f t="shared" si="5"/>
        <v>2071817.2260297737</v>
      </c>
      <c r="H19" s="14">
        <f t="shared" si="5"/>
        <v>2562781.2305804035</v>
      </c>
      <c r="I19" s="14">
        <f t="shared" si="5"/>
        <v>3111036.5587964719</v>
      </c>
      <c r="J19" s="14">
        <f t="shared" si="5"/>
        <v>3723275.9398496212</v>
      </c>
      <c r="K19" s="14">
        <f t="shared" si="5"/>
        <v>4406974.604339336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54"/>
  <sheetViews>
    <sheetView zoomScaleNormal="100" workbookViewId="0">
      <selection activeCell="A8" sqref="A8:F19"/>
    </sheetView>
  </sheetViews>
  <sheetFormatPr defaultRowHeight="15" x14ac:dyDescent="0.25"/>
  <cols>
    <col min="1" max="1" width="42.28515625" style="57" customWidth="1"/>
    <col min="2" max="11" width="14.7109375" customWidth="1"/>
    <col min="12" max="12" width="14.7109375" hidden="1" customWidth="1"/>
    <col min="13" max="13" width="14.85546875" customWidth="1"/>
    <col min="14" max="14" width="12.5703125" customWidth="1"/>
  </cols>
  <sheetData>
    <row r="2" spans="1:7" x14ac:dyDescent="0.25">
      <c r="A2" s="57" t="s">
        <v>120</v>
      </c>
      <c r="B2" s="95">
        <v>10</v>
      </c>
      <c r="C2" s="53" t="s">
        <v>121</v>
      </c>
    </row>
    <row r="3" spans="1:7" x14ac:dyDescent="0.25">
      <c r="A3" s="57" t="s">
        <v>122</v>
      </c>
      <c r="B3" s="83">
        <v>25000</v>
      </c>
      <c r="C3" s="53" t="s">
        <v>123</v>
      </c>
    </row>
    <row r="4" spans="1:7" x14ac:dyDescent="0.25">
      <c r="A4" s="57" t="s">
        <v>100</v>
      </c>
      <c r="B4" s="93">
        <v>0.15</v>
      </c>
      <c r="C4" s="53" t="s">
        <v>124</v>
      </c>
    </row>
    <row r="5" spans="1:7" x14ac:dyDescent="0.25">
      <c r="B5" s="8"/>
    </row>
    <row r="6" spans="1:7" x14ac:dyDescent="0.25">
      <c r="A6" s="57" t="s">
        <v>0</v>
      </c>
      <c r="B6" s="55">
        <f>Summary!$B$2</f>
        <v>0.09</v>
      </c>
    </row>
    <row r="7" spans="1:7" x14ac:dyDescent="0.25">
      <c r="B7" s="9"/>
    </row>
    <row r="8" spans="1:7" x14ac:dyDescent="0.25">
      <c r="A8" s="3" t="s">
        <v>125</v>
      </c>
      <c r="B8" s="23">
        <f>'ILR-FR'!B8</f>
        <v>6716</v>
      </c>
      <c r="C8" s="19" t="s">
        <v>2</v>
      </c>
      <c r="D8" s="24" t="s">
        <v>3</v>
      </c>
      <c r="E8" s="28" t="s">
        <v>4</v>
      </c>
      <c r="F8" s="32" t="s">
        <v>5</v>
      </c>
    </row>
    <row r="9" spans="1:7" x14ac:dyDescent="0.25">
      <c r="A9" s="127" t="s">
        <v>126</v>
      </c>
      <c r="B9" s="15"/>
      <c r="C9" s="37">
        <f>Summary!C4</f>
        <v>5.2114353782013101E-3</v>
      </c>
      <c r="D9" s="37">
        <f>Summary!D4</f>
        <v>1.4740917212626563E-2</v>
      </c>
      <c r="E9" s="37">
        <f>Summary!E4</f>
        <v>0.1841870160810006</v>
      </c>
      <c r="F9" s="37">
        <f>1-E9-D9-C9</f>
        <v>0.79586063132817142</v>
      </c>
    </row>
    <row r="10" spans="1:7" x14ac:dyDescent="0.25">
      <c r="A10" s="127" t="s">
        <v>127</v>
      </c>
      <c r="B10" s="15"/>
      <c r="C10" s="23">
        <f>Summary!C5</f>
        <v>35</v>
      </c>
      <c r="D10" s="23">
        <f>Summary!D5</f>
        <v>99</v>
      </c>
      <c r="E10" s="23">
        <f>Summary!E5</f>
        <v>1237</v>
      </c>
      <c r="F10" s="23">
        <f>Summary!F5</f>
        <v>5345</v>
      </c>
    </row>
    <row r="11" spans="1:7" x14ac:dyDescent="0.25">
      <c r="A11" s="127" t="s">
        <v>228</v>
      </c>
      <c r="B11" s="15"/>
      <c r="C11" s="93">
        <v>1</v>
      </c>
      <c r="D11" s="93">
        <v>1</v>
      </c>
      <c r="E11" s="93">
        <v>1</v>
      </c>
      <c r="F11" s="93">
        <v>1</v>
      </c>
      <c r="G11" s="53" t="s">
        <v>229</v>
      </c>
    </row>
    <row r="12" spans="1:7" x14ac:dyDescent="0.25">
      <c r="A12" s="127" t="s">
        <v>233</v>
      </c>
      <c r="B12" s="15"/>
      <c r="C12" s="23">
        <f>C10*C11</f>
        <v>35</v>
      </c>
      <c r="D12" s="23">
        <f t="shared" ref="D12:F12" si="0">D10*D11</f>
        <v>99</v>
      </c>
      <c r="E12" s="23">
        <f t="shared" si="0"/>
        <v>1237</v>
      </c>
      <c r="F12" s="23">
        <f t="shared" si="0"/>
        <v>5345</v>
      </c>
      <c r="G12" s="53"/>
    </row>
    <row r="13" spans="1:7" x14ac:dyDescent="0.25">
      <c r="A13" s="127" t="s">
        <v>128</v>
      </c>
      <c r="B13" s="15"/>
      <c r="C13" s="83">
        <v>50000</v>
      </c>
      <c r="D13" s="83">
        <v>10000</v>
      </c>
      <c r="E13" s="83">
        <v>2000</v>
      </c>
      <c r="F13" s="83">
        <v>1000</v>
      </c>
      <c r="G13" s="53" t="s">
        <v>129</v>
      </c>
    </row>
    <row r="14" spans="1:7" x14ac:dyDescent="0.25">
      <c r="A14" s="127" t="s">
        <v>130</v>
      </c>
      <c r="B14" s="15"/>
      <c r="C14" s="83">
        <v>12000</v>
      </c>
      <c r="D14" s="83">
        <v>1200</v>
      </c>
      <c r="E14" s="83">
        <v>1200</v>
      </c>
      <c r="F14" s="83">
        <v>300</v>
      </c>
      <c r="G14" s="53" t="s">
        <v>131</v>
      </c>
    </row>
    <row r="15" spans="1:7" x14ac:dyDescent="0.25">
      <c r="A15" s="127" t="s">
        <v>132</v>
      </c>
      <c r="B15" s="15"/>
      <c r="C15" s="93">
        <v>0</v>
      </c>
      <c r="D15" s="93">
        <v>0</v>
      </c>
      <c r="E15" s="93">
        <v>0</v>
      </c>
      <c r="F15" s="93">
        <v>0</v>
      </c>
      <c r="G15" s="53" t="s">
        <v>232</v>
      </c>
    </row>
    <row r="16" spans="1:7" x14ac:dyDescent="0.25">
      <c r="A16" s="127" t="s">
        <v>133</v>
      </c>
      <c r="B16" s="15"/>
      <c r="C16" s="23">
        <f>C10*C15*C11</f>
        <v>0</v>
      </c>
      <c r="D16" s="23">
        <f t="shared" ref="D16:F16" si="1">D10*D15*D11</f>
        <v>0</v>
      </c>
      <c r="E16" s="23">
        <f t="shared" si="1"/>
        <v>0</v>
      </c>
      <c r="F16" s="23">
        <f t="shared" si="1"/>
        <v>0</v>
      </c>
      <c r="G16" s="53"/>
    </row>
    <row r="17" spans="1:11" x14ac:dyDescent="0.25">
      <c r="A17" s="127" t="s">
        <v>227</v>
      </c>
      <c r="B17" s="15"/>
      <c r="C17" s="95">
        <v>2</v>
      </c>
      <c r="D17" s="95">
        <v>4</v>
      </c>
      <c r="E17" s="95">
        <v>4</v>
      </c>
      <c r="F17" s="95">
        <v>4</v>
      </c>
      <c r="G17" s="53" t="s">
        <v>226</v>
      </c>
    </row>
    <row r="18" spans="1:11" x14ac:dyDescent="0.25">
      <c r="A18" s="127" t="s">
        <v>134</v>
      </c>
      <c r="B18" s="15"/>
      <c r="C18" s="95">
        <v>1</v>
      </c>
      <c r="D18" s="95">
        <v>1</v>
      </c>
      <c r="E18" s="95">
        <v>1</v>
      </c>
      <c r="F18" s="95">
        <v>4</v>
      </c>
      <c r="G18" s="53" t="s">
        <v>135</v>
      </c>
    </row>
    <row r="19" spans="1:11" x14ac:dyDescent="0.25">
      <c r="A19" s="127" t="s">
        <v>136</v>
      </c>
      <c r="B19" s="15"/>
      <c r="C19" s="83">
        <v>200</v>
      </c>
      <c r="D19" s="83">
        <v>100</v>
      </c>
      <c r="E19" s="83">
        <v>50</v>
      </c>
      <c r="F19" s="83">
        <v>5</v>
      </c>
      <c r="G19" s="53" t="s">
        <v>137</v>
      </c>
    </row>
    <row r="21" spans="1:11" x14ac:dyDescent="0.25">
      <c r="A21" s="3" t="s">
        <v>14</v>
      </c>
      <c r="B21" s="6">
        <v>1</v>
      </c>
      <c r="C21" s="6">
        <v>2</v>
      </c>
      <c r="D21" s="6">
        <v>3</v>
      </c>
      <c r="E21" s="6">
        <v>4</v>
      </c>
      <c r="F21" s="6">
        <v>5</v>
      </c>
      <c r="G21" s="6">
        <v>6</v>
      </c>
      <c r="H21" s="6">
        <v>7</v>
      </c>
      <c r="I21" s="6">
        <v>8</v>
      </c>
      <c r="J21" s="6">
        <v>9</v>
      </c>
      <c r="K21" s="6">
        <v>10</v>
      </c>
    </row>
    <row r="22" spans="1:11" x14ac:dyDescent="0.25">
      <c r="A22" s="3" t="s">
        <v>138</v>
      </c>
      <c r="B22" s="18">
        <f>'ILR-FR'!B14</f>
        <v>6716</v>
      </c>
      <c r="C22" s="18">
        <f>'ILR-FR'!C14</f>
        <v>6883.9</v>
      </c>
      <c r="D22" s="18">
        <f>'ILR-FR'!D14</f>
        <v>7055.9974999999986</v>
      </c>
      <c r="E22" s="18">
        <f>'ILR-FR'!E14</f>
        <v>7232.397437499998</v>
      </c>
      <c r="F22" s="18">
        <f>'ILR-FR'!F14</f>
        <v>7413.2073734374972</v>
      </c>
      <c r="G22" s="18">
        <f>'ILR-FR'!G14</f>
        <v>7598.5375577734339</v>
      </c>
      <c r="H22" s="18">
        <f>'ILR-FR'!H14</f>
        <v>7788.5009967177693</v>
      </c>
      <c r="I22" s="18">
        <f>'ILR-FR'!I14</f>
        <v>7983.2135216357128</v>
      </c>
      <c r="J22" s="18">
        <f>'ILR-FR'!J14</f>
        <v>8182.7938596766053</v>
      </c>
      <c r="K22" s="18">
        <f>'ILR-FR'!K14</f>
        <v>8387.3637061685204</v>
      </c>
    </row>
    <row r="23" spans="1:11" x14ac:dyDescent="0.25">
      <c r="A23" s="43" t="s">
        <v>230</v>
      </c>
      <c r="B23" s="111">
        <f>B22*$C$9*$C$11</f>
        <v>35</v>
      </c>
      <c r="C23" s="111">
        <f t="shared" ref="C23:K23" si="2">C22*$C$9*$C$11</f>
        <v>35.874999999999993</v>
      </c>
      <c r="D23" s="111">
        <f t="shared" si="2"/>
        <v>36.771874999999994</v>
      </c>
      <c r="E23" s="111">
        <f t="shared" si="2"/>
        <v>37.691171874999988</v>
      </c>
      <c r="F23" s="111">
        <f t="shared" si="2"/>
        <v>38.633451171874981</v>
      </c>
      <c r="G23" s="111">
        <f t="shared" si="2"/>
        <v>39.599287451171854</v>
      </c>
      <c r="H23" s="111">
        <f t="shared" si="2"/>
        <v>40.589269637451146</v>
      </c>
      <c r="I23" s="111">
        <f t="shared" si="2"/>
        <v>41.604001378387423</v>
      </c>
      <c r="J23" s="111">
        <f t="shared" si="2"/>
        <v>42.644101412847107</v>
      </c>
      <c r="K23" s="111">
        <f t="shared" si="2"/>
        <v>43.710203948168285</v>
      </c>
    </row>
    <row r="24" spans="1:11" x14ac:dyDescent="0.25">
      <c r="A24" s="43" t="s">
        <v>139</v>
      </c>
      <c r="B24" s="20">
        <f>IF($C$16+(IF(B21&gt;$C$17,1,B21/$C$17)*((B22*$C$9*$C$11)-$C$16))&gt;B23,B23,$C$16+(IF(B21&gt;$C$17,1,B21/$C$17)*((B22*$C$9*$C$11)-$C$16)))</f>
        <v>17.5</v>
      </c>
      <c r="C24" s="20">
        <f t="shared" ref="C24:K24" si="3">IF($C$16+(IF(C21&gt;$C$17,1,C21/$C$17)*((C22*$C$9*$C$11)-$C$16))&gt;C23,C23,$C$16+(IF(C21&gt;$C$17,1,C21/$C$17)*((C22*$C$9*$C$11)-$C$16)))</f>
        <v>35.874999999999993</v>
      </c>
      <c r="D24" s="20">
        <f t="shared" si="3"/>
        <v>36.771874999999994</v>
      </c>
      <c r="E24" s="20">
        <f t="shared" si="3"/>
        <v>37.691171874999988</v>
      </c>
      <c r="F24" s="20">
        <f t="shared" si="3"/>
        <v>38.633451171874981</v>
      </c>
      <c r="G24" s="20">
        <f t="shared" si="3"/>
        <v>39.599287451171854</v>
      </c>
      <c r="H24" s="20">
        <f t="shared" si="3"/>
        <v>40.589269637451146</v>
      </c>
      <c r="I24" s="20">
        <f t="shared" si="3"/>
        <v>41.604001378387423</v>
      </c>
      <c r="J24" s="20">
        <f t="shared" si="3"/>
        <v>42.644101412847107</v>
      </c>
      <c r="K24" s="20">
        <f t="shared" si="3"/>
        <v>43.710203948168285</v>
      </c>
    </row>
    <row r="25" spans="1:11" x14ac:dyDescent="0.25">
      <c r="A25" s="43" t="s">
        <v>140</v>
      </c>
      <c r="B25" s="21">
        <f>(B24-C16)*C13</f>
        <v>875000</v>
      </c>
      <c r="C25" s="21">
        <f>(C24-B24)*$C$13</f>
        <v>918749.99999999965</v>
      </c>
      <c r="D25" s="21">
        <f t="shared" ref="D25:K25" si="4">(D24-C24)*$C$13</f>
        <v>44843.750000000073</v>
      </c>
      <c r="E25" s="21">
        <f t="shared" si="4"/>
        <v>45964.843749999673</v>
      </c>
      <c r="F25" s="21">
        <f t="shared" si="4"/>
        <v>47113.964843749658</v>
      </c>
      <c r="G25" s="21">
        <f t="shared" si="4"/>
        <v>48291.813964843655</v>
      </c>
      <c r="H25" s="21">
        <f t="shared" si="4"/>
        <v>49499.109313964596</v>
      </c>
      <c r="I25" s="21">
        <f t="shared" si="4"/>
        <v>50736.587046813853</v>
      </c>
      <c r="J25" s="21">
        <f t="shared" si="4"/>
        <v>52005.001722984191</v>
      </c>
      <c r="K25" s="21">
        <f t="shared" si="4"/>
        <v>53305.126766058922</v>
      </c>
    </row>
    <row r="26" spans="1:11" x14ac:dyDescent="0.25">
      <c r="A26" s="43" t="s">
        <v>141</v>
      </c>
      <c r="B26" s="21">
        <f>B24*$C$14</f>
        <v>210000</v>
      </c>
      <c r="C26" s="21">
        <f t="shared" ref="C26:K26" si="5">C24*$C$14</f>
        <v>430499.99999999994</v>
      </c>
      <c r="D26" s="21">
        <f t="shared" si="5"/>
        <v>441262.49999999994</v>
      </c>
      <c r="E26" s="21">
        <f t="shared" si="5"/>
        <v>452294.06249999983</v>
      </c>
      <c r="F26" s="21">
        <f t="shared" si="5"/>
        <v>463601.41406249977</v>
      </c>
      <c r="G26" s="21">
        <f t="shared" si="5"/>
        <v>475191.44941406226</v>
      </c>
      <c r="H26" s="21">
        <f t="shared" si="5"/>
        <v>487071.23564941378</v>
      </c>
      <c r="I26" s="21">
        <f t="shared" si="5"/>
        <v>499248.01654064906</v>
      </c>
      <c r="J26" s="21">
        <f t="shared" si="5"/>
        <v>511729.21695416525</v>
      </c>
      <c r="K26" s="21">
        <f t="shared" si="5"/>
        <v>524522.44737801945</v>
      </c>
    </row>
    <row r="27" spans="1:11" x14ac:dyDescent="0.25">
      <c r="A27" s="43" t="s">
        <v>142</v>
      </c>
      <c r="B27" s="20">
        <f>B24*$C$18</f>
        <v>17.5</v>
      </c>
      <c r="C27" s="20">
        <f t="shared" ref="C27:K27" si="6">C24*$C$18</f>
        <v>35.874999999999993</v>
      </c>
      <c r="D27" s="20">
        <f t="shared" si="6"/>
        <v>36.771874999999994</v>
      </c>
      <c r="E27" s="20">
        <f t="shared" si="6"/>
        <v>37.691171874999988</v>
      </c>
      <c r="F27" s="20">
        <f t="shared" si="6"/>
        <v>38.633451171874981</v>
      </c>
      <c r="G27" s="20">
        <f t="shared" si="6"/>
        <v>39.599287451171854</v>
      </c>
      <c r="H27" s="20">
        <f t="shared" si="6"/>
        <v>40.589269637451146</v>
      </c>
      <c r="I27" s="20">
        <f t="shared" si="6"/>
        <v>41.604001378387423</v>
      </c>
      <c r="J27" s="20">
        <f t="shared" si="6"/>
        <v>42.644101412847107</v>
      </c>
      <c r="K27" s="20">
        <f t="shared" si="6"/>
        <v>43.710203948168285</v>
      </c>
    </row>
    <row r="28" spans="1:11" x14ac:dyDescent="0.25">
      <c r="A28" s="43" t="s">
        <v>143</v>
      </c>
      <c r="B28" s="22">
        <f>B27*$C$19</f>
        <v>3500</v>
      </c>
      <c r="C28" s="22">
        <f t="shared" ref="C28:K28" si="7">C27*$C$19</f>
        <v>7174.9999999999982</v>
      </c>
      <c r="D28" s="22">
        <f t="shared" si="7"/>
        <v>7354.3749999999991</v>
      </c>
      <c r="E28" s="22">
        <f t="shared" si="7"/>
        <v>7538.2343749999973</v>
      </c>
      <c r="F28" s="22">
        <f t="shared" si="7"/>
        <v>7726.6902343749962</v>
      </c>
      <c r="G28" s="22">
        <f t="shared" si="7"/>
        <v>7919.8574902343707</v>
      </c>
      <c r="H28" s="22">
        <f t="shared" si="7"/>
        <v>8117.8539274902296</v>
      </c>
      <c r="I28" s="22">
        <f t="shared" si="7"/>
        <v>8320.800275677484</v>
      </c>
      <c r="J28" s="22">
        <f t="shared" si="7"/>
        <v>8528.8202825694207</v>
      </c>
      <c r="K28" s="22">
        <f t="shared" si="7"/>
        <v>8742.0407896336565</v>
      </c>
    </row>
    <row r="29" spans="1:11" x14ac:dyDescent="0.25">
      <c r="A29" s="44" t="s">
        <v>231</v>
      </c>
      <c r="B29" s="112">
        <f>B22*$D$9*$D$11</f>
        <v>99</v>
      </c>
      <c r="C29" s="112">
        <f t="shared" ref="C29:K29" si="8">C22*$D$9*$D$11</f>
        <v>101.47499999999999</v>
      </c>
      <c r="D29" s="112">
        <f t="shared" si="8"/>
        <v>104.01187499999997</v>
      </c>
      <c r="E29" s="112">
        <f t="shared" si="8"/>
        <v>106.61217187499997</v>
      </c>
      <c r="F29" s="112">
        <f t="shared" si="8"/>
        <v>109.27747617187495</v>
      </c>
      <c r="G29" s="112">
        <f t="shared" si="8"/>
        <v>112.00941307617182</v>
      </c>
      <c r="H29" s="112">
        <f t="shared" si="8"/>
        <v>114.80964840307611</v>
      </c>
      <c r="I29" s="112">
        <f t="shared" si="8"/>
        <v>117.67988961315299</v>
      </c>
      <c r="J29" s="112">
        <f t="shared" si="8"/>
        <v>120.62188685348183</v>
      </c>
      <c r="K29" s="112">
        <f t="shared" si="8"/>
        <v>123.63743402481886</v>
      </c>
    </row>
    <row r="30" spans="1:11" x14ac:dyDescent="0.25">
      <c r="A30" s="44" t="s">
        <v>144</v>
      </c>
      <c r="B30" s="25">
        <f>IF($D$16+(IF(B21&gt;$D$17,1,B21/$D$17)*((B22*$D$9*$D$11)-$D$16))&gt;B29,B29,$D$16+(IF(B21&gt;$D$17,1,B21/$D$17)*((B22*$D$9*$D$11)-$D$16)))</f>
        <v>24.75</v>
      </c>
      <c r="C30" s="25">
        <f t="shared" ref="C30:K30" si="9">IF($D$16+(IF(C21&gt;$D$17,1,C21/$D$17)*((C22*$D$9*$D$11)-$D$16))&gt;C29,C29,$D$16+(IF(C21&gt;$D$17,1,C21/$D$17)*((C22*$D$9*$D$11)-$D$16)))</f>
        <v>50.737499999999997</v>
      </c>
      <c r="D30" s="25">
        <f t="shared" si="9"/>
        <v>78.008906249999981</v>
      </c>
      <c r="E30" s="25">
        <f t="shared" si="9"/>
        <v>106.61217187499997</v>
      </c>
      <c r="F30" s="25">
        <f t="shared" si="9"/>
        <v>109.27747617187495</v>
      </c>
      <c r="G30" s="25">
        <f t="shared" si="9"/>
        <v>112.00941307617182</v>
      </c>
      <c r="H30" s="25">
        <f t="shared" si="9"/>
        <v>114.80964840307611</v>
      </c>
      <c r="I30" s="25">
        <f t="shared" si="9"/>
        <v>117.67988961315299</v>
      </c>
      <c r="J30" s="25">
        <f t="shared" si="9"/>
        <v>120.62188685348183</v>
      </c>
      <c r="K30" s="25">
        <f t="shared" si="9"/>
        <v>123.63743402481886</v>
      </c>
    </row>
    <row r="31" spans="1:11" x14ac:dyDescent="0.25">
      <c r="A31" s="44" t="s">
        <v>145</v>
      </c>
      <c r="B31" s="26">
        <f>(B30-D16)*D13</f>
        <v>247500</v>
      </c>
      <c r="C31" s="26">
        <f>(C30-B30)*$D$13</f>
        <v>259874.99999999997</v>
      </c>
      <c r="D31" s="26">
        <f t="shared" ref="D31:K31" si="10">(D30-C30)*$D$13</f>
        <v>272714.06249999983</v>
      </c>
      <c r="E31" s="26">
        <f t="shared" si="10"/>
        <v>286032.65624999994</v>
      </c>
      <c r="F31" s="26">
        <f t="shared" si="10"/>
        <v>26653.042968749789</v>
      </c>
      <c r="G31" s="26">
        <f t="shared" si="10"/>
        <v>27319.36904296873</v>
      </c>
      <c r="H31" s="26">
        <f t="shared" si="10"/>
        <v>28002.353269042858</v>
      </c>
      <c r="I31" s="26">
        <f t="shared" si="10"/>
        <v>28702.412100768841</v>
      </c>
      <c r="J31" s="26">
        <f t="shared" si="10"/>
        <v>29419.972403288313</v>
      </c>
      <c r="K31" s="26">
        <f t="shared" si="10"/>
        <v>30155.471713370331</v>
      </c>
    </row>
    <row r="32" spans="1:11" x14ac:dyDescent="0.25">
      <c r="A32" s="44" t="s">
        <v>146</v>
      </c>
      <c r="B32" s="26">
        <f>B30*$D$14</f>
        <v>29700</v>
      </c>
      <c r="C32" s="26">
        <f t="shared" ref="C32:K32" si="11">C30*$D$14</f>
        <v>60885</v>
      </c>
      <c r="D32" s="26">
        <f t="shared" si="11"/>
        <v>93610.687499999971</v>
      </c>
      <c r="E32" s="26">
        <f t="shared" si="11"/>
        <v>127934.60624999997</v>
      </c>
      <c r="F32" s="26">
        <f t="shared" si="11"/>
        <v>131132.97140624994</v>
      </c>
      <c r="G32" s="26">
        <f t="shared" si="11"/>
        <v>134411.29569140618</v>
      </c>
      <c r="H32" s="26">
        <f t="shared" si="11"/>
        <v>137771.57808369133</v>
      </c>
      <c r="I32" s="26">
        <f t="shared" si="11"/>
        <v>141215.86753578359</v>
      </c>
      <c r="J32" s="26">
        <f t="shared" si="11"/>
        <v>144746.26422417819</v>
      </c>
      <c r="K32" s="26">
        <f t="shared" si="11"/>
        <v>148364.92082978264</v>
      </c>
    </row>
    <row r="33" spans="1:14" x14ac:dyDescent="0.25">
      <c r="A33" s="44" t="s">
        <v>147</v>
      </c>
      <c r="B33" s="25">
        <f>B30*$D$18</f>
        <v>24.75</v>
      </c>
      <c r="C33" s="25">
        <f t="shared" ref="C33:K33" si="12">C30*$D$18</f>
        <v>50.737499999999997</v>
      </c>
      <c r="D33" s="25">
        <f t="shared" si="12"/>
        <v>78.008906249999981</v>
      </c>
      <c r="E33" s="25">
        <f t="shared" si="12"/>
        <v>106.61217187499997</v>
      </c>
      <c r="F33" s="25">
        <f t="shared" si="12"/>
        <v>109.27747617187495</v>
      </c>
      <c r="G33" s="25">
        <f t="shared" si="12"/>
        <v>112.00941307617182</v>
      </c>
      <c r="H33" s="25">
        <f t="shared" si="12"/>
        <v>114.80964840307611</v>
      </c>
      <c r="I33" s="25">
        <f t="shared" si="12"/>
        <v>117.67988961315299</v>
      </c>
      <c r="J33" s="25">
        <f t="shared" si="12"/>
        <v>120.62188685348183</v>
      </c>
      <c r="K33" s="25">
        <f t="shared" si="12"/>
        <v>123.63743402481886</v>
      </c>
    </row>
    <row r="34" spans="1:14" x14ac:dyDescent="0.25">
      <c r="A34" s="44" t="s">
        <v>148</v>
      </c>
      <c r="B34" s="27">
        <f>B33*$D$19</f>
        <v>2475</v>
      </c>
      <c r="C34" s="27">
        <f t="shared" ref="C34:K34" si="13">C33*$D$19</f>
        <v>5073.75</v>
      </c>
      <c r="D34" s="27">
        <f t="shared" si="13"/>
        <v>7800.8906249999982</v>
      </c>
      <c r="E34" s="27">
        <f t="shared" si="13"/>
        <v>10661.217187499997</v>
      </c>
      <c r="F34" s="27">
        <f t="shared" si="13"/>
        <v>10927.747617187495</v>
      </c>
      <c r="G34" s="27">
        <f t="shared" si="13"/>
        <v>11200.941307617182</v>
      </c>
      <c r="H34" s="27">
        <f t="shared" si="13"/>
        <v>11480.964840307612</v>
      </c>
      <c r="I34" s="27">
        <f t="shared" si="13"/>
        <v>11767.988961315299</v>
      </c>
      <c r="J34" s="27">
        <f t="shared" si="13"/>
        <v>12062.188685348183</v>
      </c>
      <c r="K34" s="27">
        <f t="shared" si="13"/>
        <v>12363.743402481887</v>
      </c>
    </row>
    <row r="35" spans="1:14" x14ac:dyDescent="0.25">
      <c r="A35" s="45" t="s">
        <v>234</v>
      </c>
      <c r="B35" s="113">
        <f>B22*$E$9*$E$11</f>
        <v>1237</v>
      </c>
      <c r="C35" s="113">
        <f t="shared" ref="C35:K35" si="14">C22*$E$9*$E$11</f>
        <v>1267.925</v>
      </c>
      <c r="D35" s="113">
        <f t="shared" si="14"/>
        <v>1299.6231249999998</v>
      </c>
      <c r="E35" s="113">
        <f t="shared" si="14"/>
        <v>1332.1137031249998</v>
      </c>
      <c r="F35" s="113">
        <f t="shared" si="14"/>
        <v>1365.4165457031245</v>
      </c>
      <c r="G35" s="113">
        <f t="shared" si="14"/>
        <v>1399.5519593457025</v>
      </c>
      <c r="H35" s="113">
        <f t="shared" si="14"/>
        <v>1434.540758329345</v>
      </c>
      <c r="I35" s="113">
        <f t="shared" si="14"/>
        <v>1470.4042772875785</v>
      </c>
      <c r="J35" s="113">
        <f t="shared" si="14"/>
        <v>1507.164384219768</v>
      </c>
      <c r="K35" s="113">
        <f t="shared" si="14"/>
        <v>1544.8434938252622</v>
      </c>
    </row>
    <row r="36" spans="1:14" x14ac:dyDescent="0.25">
      <c r="A36" s="45" t="s">
        <v>149</v>
      </c>
      <c r="B36" s="29">
        <f>IF($E$16+(IF(B21&gt;$E$17,1,B21/$E$17)*((B22*$E$9*$E$11)-$E$16))&gt;B35,B35,$E$16+(IF(B21&gt;$E$17,1,B21/$E$17)*((B22*$E$9*$E$11)-$E$16)))</f>
        <v>309.25</v>
      </c>
      <c r="C36" s="29">
        <f t="shared" ref="C36:K36" si="15">IF($E$16+(IF(C21&gt;$E$17,1,C21/$E$17)*((C22*$E$9*$E$11)-$E$16))&gt;C35,C35,$E$16+(IF(C21&gt;$E$17,1,C21/$E$17)*((C22*$E$9*$E$11)-$E$16)))</f>
        <v>633.96249999999998</v>
      </c>
      <c r="D36" s="29">
        <f t="shared" si="15"/>
        <v>974.71734374999983</v>
      </c>
      <c r="E36" s="29">
        <f t="shared" si="15"/>
        <v>1332.1137031249998</v>
      </c>
      <c r="F36" s="29">
        <f t="shared" si="15"/>
        <v>1365.4165457031245</v>
      </c>
      <c r="G36" s="29">
        <f t="shared" si="15"/>
        <v>1399.5519593457025</v>
      </c>
      <c r="H36" s="29">
        <f t="shared" si="15"/>
        <v>1434.540758329345</v>
      </c>
      <c r="I36" s="29">
        <f t="shared" si="15"/>
        <v>1470.4042772875785</v>
      </c>
      <c r="J36" s="29">
        <f t="shared" si="15"/>
        <v>1507.164384219768</v>
      </c>
      <c r="K36" s="29">
        <f t="shared" si="15"/>
        <v>1544.8434938252622</v>
      </c>
    </row>
    <row r="37" spans="1:14" x14ac:dyDescent="0.25">
      <c r="A37" s="45" t="s">
        <v>150</v>
      </c>
      <c r="B37" s="30">
        <f>(B36-E16)*E13</f>
        <v>618500</v>
      </c>
      <c r="C37" s="30">
        <f>(C36-B36)*$E$13</f>
        <v>649425</v>
      </c>
      <c r="D37" s="30">
        <f t="shared" ref="D37:K37" si="16">(D36-C36)*$E$13</f>
        <v>681509.68749999965</v>
      </c>
      <c r="E37" s="30">
        <f t="shared" si="16"/>
        <v>714792.71875</v>
      </c>
      <c r="F37" s="30">
        <f t="shared" si="16"/>
        <v>66605.685156249368</v>
      </c>
      <c r="G37" s="30">
        <f t="shared" si="16"/>
        <v>68270.827285155974</v>
      </c>
      <c r="H37" s="30">
        <f t="shared" si="16"/>
        <v>69977.597967284964</v>
      </c>
      <c r="I37" s="30">
        <f t="shared" si="16"/>
        <v>71727.037916467001</v>
      </c>
      <c r="J37" s="30">
        <f t="shared" si="16"/>
        <v>73520.213864379009</v>
      </c>
      <c r="K37" s="30">
        <f t="shared" si="16"/>
        <v>75358.219210988405</v>
      </c>
    </row>
    <row r="38" spans="1:14" x14ac:dyDescent="0.25">
      <c r="A38" s="45" t="s">
        <v>151</v>
      </c>
      <c r="B38" s="30">
        <f>B36*$E$14</f>
        <v>371100</v>
      </c>
      <c r="C38" s="30">
        <f t="shared" ref="C38:K38" si="17">C36*$E$14</f>
        <v>760755</v>
      </c>
      <c r="D38" s="30">
        <f t="shared" si="17"/>
        <v>1169660.8124999998</v>
      </c>
      <c r="E38" s="30">
        <f t="shared" si="17"/>
        <v>1598536.4437499999</v>
      </c>
      <c r="F38" s="30">
        <f t="shared" si="17"/>
        <v>1638499.8548437494</v>
      </c>
      <c r="G38" s="30">
        <f t="shared" si="17"/>
        <v>1679462.3512148429</v>
      </c>
      <c r="H38" s="30">
        <f t="shared" si="17"/>
        <v>1721448.9099952138</v>
      </c>
      <c r="I38" s="30">
        <f t="shared" si="17"/>
        <v>1764485.1327450941</v>
      </c>
      <c r="J38" s="30">
        <f t="shared" si="17"/>
        <v>1808597.2610637215</v>
      </c>
      <c r="K38" s="30">
        <f t="shared" si="17"/>
        <v>1853812.1925903147</v>
      </c>
    </row>
    <row r="39" spans="1:14" x14ac:dyDescent="0.25">
      <c r="A39" s="45" t="s">
        <v>152</v>
      </c>
      <c r="B39" s="29">
        <f>B36*$E$18</f>
        <v>309.25</v>
      </c>
      <c r="C39" s="29">
        <f t="shared" ref="C39:K39" si="18">C36*$E$18</f>
        <v>633.96249999999998</v>
      </c>
      <c r="D39" s="29">
        <f t="shared" si="18"/>
        <v>974.71734374999983</v>
      </c>
      <c r="E39" s="29">
        <f t="shared" si="18"/>
        <v>1332.1137031249998</v>
      </c>
      <c r="F39" s="29">
        <f t="shared" si="18"/>
        <v>1365.4165457031245</v>
      </c>
      <c r="G39" s="29">
        <f t="shared" si="18"/>
        <v>1399.5519593457025</v>
      </c>
      <c r="H39" s="29">
        <f t="shared" si="18"/>
        <v>1434.540758329345</v>
      </c>
      <c r="I39" s="29">
        <f t="shared" si="18"/>
        <v>1470.4042772875785</v>
      </c>
      <c r="J39" s="29">
        <f t="shared" si="18"/>
        <v>1507.164384219768</v>
      </c>
      <c r="K39" s="29">
        <f t="shared" si="18"/>
        <v>1544.8434938252622</v>
      </c>
    </row>
    <row r="40" spans="1:14" x14ac:dyDescent="0.25">
      <c r="A40" s="45" t="s">
        <v>153</v>
      </c>
      <c r="B40" s="31">
        <f>B39*$E$19</f>
        <v>15462.5</v>
      </c>
      <c r="C40" s="31">
        <f t="shared" ref="C40:K40" si="19">C39*$E$19</f>
        <v>31698.125</v>
      </c>
      <c r="D40" s="31">
        <f t="shared" si="19"/>
        <v>48735.867187499993</v>
      </c>
      <c r="E40" s="31">
        <f t="shared" si="19"/>
        <v>66605.685156249994</v>
      </c>
      <c r="F40" s="31">
        <f t="shared" si="19"/>
        <v>68270.827285156221</v>
      </c>
      <c r="G40" s="31">
        <f t="shared" si="19"/>
        <v>69977.597967285124</v>
      </c>
      <c r="H40" s="31">
        <f t="shared" si="19"/>
        <v>71727.037916467249</v>
      </c>
      <c r="I40" s="31">
        <f t="shared" si="19"/>
        <v>73520.213864378922</v>
      </c>
      <c r="J40" s="31">
        <f t="shared" si="19"/>
        <v>75358.219210988391</v>
      </c>
      <c r="K40" s="31">
        <f t="shared" si="19"/>
        <v>77242.174691263106</v>
      </c>
    </row>
    <row r="41" spans="1:14" x14ac:dyDescent="0.25">
      <c r="A41" s="46" t="s">
        <v>235</v>
      </c>
      <c r="B41" s="114">
        <f>B22*$F$9*$F$11</f>
        <v>5344.9999999999991</v>
      </c>
      <c r="C41" s="114">
        <f t="shared" ref="C41:K41" si="20">C22*$F$9*$F$11</f>
        <v>5478.6249999999991</v>
      </c>
      <c r="D41" s="114">
        <f t="shared" si="20"/>
        <v>5615.590624999998</v>
      </c>
      <c r="E41" s="114">
        <f t="shared" si="20"/>
        <v>5755.9803906249972</v>
      </c>
      <c r="F41" s="114">
        <f t="shared" si="20"/>
        <v>5899.8799003906215</v>
      </c>
      <c r="G41" s="114">
        <f t="shared" si="20"/>
        <v>6047.3768979003871</v>
      </c>
      <c r="H41" s="114">
        <f t="shared" si="20"/>
        <v>6198.5613203478961</v>
      </c>
      <c r="I41" s="114">
        <f t="shared" si="20"/>
        <v>6353.5253533565929</v>
      </c>
      <c r="J41" s="114">
        <f t="shared" si="20"/>
        <v>6512.3634871905078</v>
      </c>
      <c r="K41" s="114">
        <f t="shared" si="20"/>
        <v>6675.17257437027</v>
      </c>
    </row>
    <row r="42" spans="1:14" x14ac:dyDescent="0.25">
      <c r="A42" s="46" t="s">
        <v>154</v>
      </c>
      <c r="B42" s="33">
        <f>IF($F$16+(IF(B21&gt;$F$17,1,B21/$F$17)*((B22*$F$9*$F$11)-$F$16))&gt;B41,B41,$F$16+(IF(B21&gt;$F$17,1,B21/$F$17)*((B22*$F$9*$F$11)-$F$16)))</f>
        <v>1336.2499999999998</v>
      </c>
      <c r="C42" s="33">
        <f t="shared" ref="C42:K42" si="21">IF($F$16+(IF(C21&gt;$F$17,1,C21/$F$17)*((C22*$F$9*$F$11)-$F$16))&gt;C41,C41,$F$16+(IF(C21&gt;$F$17,1,C21/$F$17)*((C22*$F$9*$F$11)-$F$16)))</f>
        <v>2739.3124999999995</v>
      </c>
      <c r="D42" s="33">
        <f t="shared" si="21"/>
        <v>4211.6929687499987</v>
      </c>
      <c r="E42" s="33">
        <f t="shared" si="21"/>
        <v>5755.9803906249972</v>
      </c>
      <c r="F42" s="33">
        <f t="shared" si="21"/>
        <v>5899.8799003906215</v>
      </c>
      <c r="G42" s="33">
        <f t="shared" si="21"/>
        <v>6047.3768979003871</v>
      </c>
      <c r="H42" s="33">
        <f t="shared" si="21"/>
        <v>6198.5613203478961</v>
      </c>
      <c r="I42" s="33">
        <f t="shared" si="21"/>
        <v>6353.5253533565929</v>
      </c>
      <c r="J42" s="33">
        <f t="shared" si="21"/>
        <v>6512.3634871905078</v>
      </c>
      <c r="K42" s="33">
        <f t="shared" si="21"/>
        <v>6675.17257437027</v>
      </c>
    </row>
    <row r="43" spans="1:14" x14ac:dyDescent="0.25">
      <c r="A43" s="46" t="s">
        <v>155</v>
      </c>
      <c r="B43" s="34">
        <f>(B42-F16)*F13</f>
        <v>1336249.9999999998</v>
      </c>
      <c r="C43" s="34">
        <f>(C42-B42)*$F$13</f>
        <v>1403062.4999999998</v>
      </c>
      <c r="D43" s="34">
        <f t="shared" ref="D43:K43" si="22">(D42-C42)*$F$13</f>
        <v>1472380.4687499991</v>
      </c>
      <c r="E43" s="34">
        <f t="shared" si="22"/>
        <v>1544287.4218749984</v>
      </c>
      <c r="F43" s="34">
        <f t="shared" si="22"/>
        <v>143899.5097656243</v>
      </c>
      <c r="G43" s="34">
        <f t="shared" si="22"/>
        <v>147496.99750976561</v>
      </c>
      <c r="H43" s="34">
        <f t="shared" si="22"/>
        <v>151184.42244750896</v>
      </c>
      <c r="I43" s="34">
        <f t="shared" si="22"/>
        <v>154964.0330086968</v>
      </c>
      <c r="J43" s="34">
        <f t="shared" si="22"/>
        <v>158838.133833915</v>
      </c>
      <c r="K43" s="34">
        <f t="shared" si="22"/>
        <v>162809.08717976217</v>
      </c>
    </row>
    <row r="44" spans="1:14" x14ac:dyDescent="0.25">
      <c r="A44" s="46" t="s">
        <v>156</v>
      </c>
      <c r="B44" s="34">
        <f>B42*$F$14</f>
        <v>400874.99999999994</v>
      </c>
      <c r="C44" s="34">
        <f t="shared" ref="C44:K44" si="23">C42*$F$14</f>
        <v>821793.74999999988</v>
      </c>
      <c r="D44" s="34">
        <f t="shared" si="23"/>
        <v>1263507.8906249995</v>
      </c>
      <c r="E44" s="34">
        <f t="shared" si="23"/>
        <v>1726794.1171874991</v>
      </c>
      <c r="F44" s="34">
        <f t="shared" si="23"/>
        <v>1769963.9701171864</v>
      </c>
      <c r="G44" s="34">
        <f t="shared" si="23"/>
        <v>1814213.0693701161</v>
      </c>
      <c r="H44" s="34">
        <f t="shared" si="23"/>
        <v>1859568.3961043688</v>
      </c>
      <c r="I44" s="34">
        <f t="shared" si="23"/>
        <v>1906057.6060069778</v>
      </c>
      <c r="J44" s="34">
        <f t="shared" si="23"/>
        <v>1953709.0461571524</v>
      </c>
      <c r="K44" s="34">
        <f t="shared" si="23"/>
        <v>2002551.7723110809</v>
      </c>
    </row>
    <row r="45" spans="1:14" x14ac:dyDescent="0.25">
      <c r="A45" s="46" t="s">
        <v>157</v>
      </c>
      <c r="B45" s="33">
        <f>B42*$F$18</f>
        <v>5344.9999999999991</v>
      </c>
      <c r="C45" s="33">
        <f t="shared" ref="C45:K45" si="24">C42*$F$18</f>
        <v>10957.249999999998</v>
      </c>
      <c r="D45" s="33">
        <f t="shared" si="24"/>
        <v>16846.771874999995</v>
      </c>
      <c r="E45" s="33">
        <f t="shared" si="24"/>
        <v>23023.921562499989</v>
      </c>
      <c r="F45" s="33">
        <f t="shared" si="24"/>
        <v>23599.519601562486</v>
      </c>
      <c r="G45" s="33">
        <f t="shared" si="24"/>
        <v>24189.507591601548</v>
      </c>
      <c r="H45" s="33">
        <f t="shared" si="24"/>
        <v>24794.245281391584</v>
      </c>
      <c r="I45" s="33">
        <f t="shared" si="24"/>
        <v>25414.101413426371</v>
      </c>
      <c r="J45" s="33">
        <f t="shared" si="24"/>
        <v>26049.453948762031</v>
      </c>
      <c r="K45" s="33">
        <f t="shared" si="24"/>
        <v>26700.69029748108</v>
      </c>
    </row>
    <row r="46" spans="1:14" x14ac:dyDescent="0.25">
      <c r="A46" s="46" t="s">
        <v>158</v>
      </c>
      <c r="B46" s="35">
        <f>B45*$F$19</f>
        <v>26724.999999999996</v>
      </c>
      <c r="C46" s="35">
        <f t="shared" ref="C46:K46" si="25">C45*$F$19</f>
        <v>54786.249999999993</v>
      </c>
      <c r="D46" s="35">
        <f t="shared" si="25"/>
        <v>84233.859374999971</v>
      </c>
      <c r="E46" s="35">
        <f t="shared" si="25"/>
        <v>115119.60781249995</v>
      </c>
      <c r="F46" s="35">
        <f t="shared" si="25"/>
        <v>117997.59800781243</v>
      </c>
      <c r="G46" s="35">
        <f t="shared" si="25"/>
        <v>120947.53795800774</v>
      </c>
      <c r="H46" s="35">
        <f t="shared" si="25"/>
        <v>123971.22640695793</v>
      </c>
      <c r="I46" s="35">
        <f t="shared" si="25"/>
        <v>127070.50706713185</v>
      </c>
      <c r="J46" s="35">
        <f t="shared" si="25"/>
        <v>130247.26974381016</v>
      </c>
      <c r="K46" s="35">
        <f t="shared" si="25"/>
        <v>133503.4514874054</v>
      </c>
    </row>
    <row r="47" spans="1:14" x14ac:dyDescent="0.25">
      <c r="A47" s="128" t="s">
        <v>268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" t="s">
        <v>15</v>
      </c>
      <c r="M47" s="124" t="s">
        <v>258</v>
      </c>
      <c r="N47" s="124" t="s">
        <v>259</v>
      </c>
    </row>
    <row r="48" spans="1:14" x14ac:dyDescent="0.25">
      <c r="A48" s="129" t="s">
        <v>159</v>
      </c>
      <c r="B48" s="115">
        <f>B2*B3</f>
        <v>250000</v>
      </c>
      <c r="C48" s="115">
        <f>$B$48*$B$4*(1+$B$6)^(C$21-1)</f>
        <v>40875</v>
      </c>
      <c r="D48" s="115">
        <f t="shared" ref="D48:K48" si="26">$B$48*$B$4*(1+$B$6)^(D$21-1)</f>
        <v>44553.750000000007</v>
      </c>
      <c r="E48" s="115">
        <f t="shared" si="26"/>
        <v>48563.587500000009</v>
      </c>
      <c r="F48" s="115">
        <f t="shared" si="26"/>
        <v>52934.310375000008</v>
      </c>
      <c r="G48" s="115">
        <f t="shared" si="26"/>
        <v>57698.398308750016</v>
      </c>
      <c r="H48" s="115">
        <f t="shared" si="26"/>
        <v>62891.254156537521</v>
      </c>
      <c r="I48" s="115">
        <f t="shared" si="26"/>
        <v>68551.467030625892</v>
      </c>
      <c r="J48" s="115">
        <f t="shared" si="26"/>
        <v>74721.099063382237</v>
      </c>
      <c r="K48" s="116">
        <f t="shared" si="26"/>
        <v>81445.997979086649</v>
      </c>
      <c r="L48" s="14">
        <f>SUM(B48:K48)</f>
        <v>782234.86441338225</v>
      </c>
      <c r="M48" s="125">
        <f>SUM(B48:K48)</f>
        <v>782234.86441338225</v>
      </c>
      <c r="N48" s="126">
        <f>M48/$K$54</f>
        <v>1.0129199271874787E-2</v>
      </c>
    </row>
    <row r="49" spans="1:14" x14ac:dyDescent="0.25">
      <c r="A49" s="130" t="s">
        <v>160</v>
      </c>
      <c r="B49" s="22">
        <f>B25+B26+B28</f>
        <v>1088500</v>
      </c>
      <c r="C49" s="22">
        <f>(C25+C26+C28)*(1+$B$6)^(C$21-1)</f>
        <v>1478503.2499999995</v>
      </c>
      <c r="D49" s="22">
        <f t="shared" ref="D49:K49" si="27">(D25+D26+D28)*(1+$B$6)^(D$21-1)</f>
        <v>586280.56856250006</v>
      </c>
      <c r="E49" s="22">
        <f t="shared" si="27"/>
        <v>655021.96522645256</v>
      </c>
      <c r="F49" s="22">
        <f t="shared" si="27"/>
        <v>731823.29064925411</v>
      </c>
      <c r="G49" s="22">
        <f t="shared" si="27"/>
        <v>817629.57147787954</v>
      </c>
      <c r="H49" s="22">
        <f t="shared" si="27"/>
        <v>913496.63873366069</v>
      </c>
      <c r="I49" s="22">
        <f t="shared" si="27"/>
        <v>1020604.1196251826</v>
      </c>
      <c r="J49" s="22">
        <f t="shared" si="27"/>
        <v>1140269.952651235</v>
      </c>
      <c r="K49" s="117">
        <f t="shared" si="27"/>
        <v>1273966.6045995932</v>
      </c>
      <c r="L49" s="14">
        <f t="shared" ref="L49:L52" si="28">SUM(B49:K49)</f>
        <v>9706095.9615257569</v>
      </c>
      <c r="M49" s="125">
        <f t="shared" ref="M49:M53" si="29">SUM(B49:K49)</f>
        <v>9706095.9615257569</v>
      </c>
      <c r="N49" s="126">
        <f t="shared" ref="N49:N53" si="30">M49/$K$54</f>
        <v>0.12568473308839589</v>
      </c>
    </row>
    <row r="50" spans="1:14" x14ac:dyDescent="0.25">
      <c r="A50" s="131" t="s">
        <v>161</v>
      </c>
      <c r="B50" s="27">
        <f>B31+B32+B34</f>
        <v>279675</v>
      </c>
      <c r="C50" s="27">
        <f>(C31+C32+C34)*(1+$B$6)^(C$21-1)</f>
        <v>355158.78750000003</v>
      </c>
      <c r="D50" s="27">
        <f t="shared" ref="D50:K50" si="31">(D31+D32+D34)*(1+$B$6)^(D$21-1)</f>
        <v>444498.67362656229</v>
      </c>
      <c r="E50" s="27">
        <f t="shared" si="31"/>
        <v>549906.19542122341</v>
      </c>
      <c r="F50" s="27">
        <f t="shared" si="31"/>
        <v>238153.24378208851</v>
      </c>
      <c r="G50" s="27">
        <f t="shared" si="31"/>
        <v>266076.71161553869</v>
      </c>
      <c r="H50" s="27">
        <f t="shared" si="31"/>
        <v>297274.20605246042</v>
      </c>
      <c r="I50" s="27">
        <f t="shared" si="31"/>
        <v>332129.60671211127</v>
      </c>
      <c r="J50" s="27">
        <f t="shared" si="31"/>
        <v>371071.80309910682</v>
      </c>
      <c r="K50" s="118">
        <f t="shared" si="31"/>
        <v>414579.9720124767</v>
      </c>
      <c r="L50" s="14">
        <f t="shared" si="28"/>
        <v>3548524.1998215681</v>
      </c>
      <c r="M50" s="125">
        <f t="shared" si="29"/>
        <v>3548524.1998215681</v>
      </c>
      <c r="N50" s="126">
        <f t="shared" si="30"/>
        <v>4.5950021376275255E-2</v>
      </c>
    </row>
    <row r="51" spans="1:14" x14ac:dyDescent="0.25">
      <c r="A51" s="132" t="s">
        <v>162</v>
      </c>
      <c r="B51" s="31">
        <f>B37+B38+B40</f>
        <v>1005062.5</v>
      </c>
      <c r="C51" s="31">
        <f>(C37+C38+C40)*(1+$B$6)^(C$21-1)</f>
        <v>1571647.15625</v>
      </c>
      <c r="D51" s="31">
        <f t="shared" ref="D51:K51" si="32">(D37+D38+D40)*(1+$B$6)^(D$21-1)</f>
        <v>2257278.7548554684</v>
      </c>
      <c r="E51" s="31">
        <f t="shared" si="32"/>
        <v>3082084.6458254256</v>
      </c>
      <c r="F51" s="31">
        <f t="shared" si="32"/>
        <v>2503265.4676683308</v>
      </c>
      <c r="G51" s="31">
        <f t="shared" si="32"/>
        <v>2796773.3437524433</v>
      </c>
      <c r="H51" s="31">
        <f t="shared" si="32"/>
        <v>3124695.0183074176</v>
      </c>
      <c r="I51" s="31">
        <f t="shared" si="32"/>
        <v>3491065.5092039616</v>
      </c>
      <c r="J51" s="31">
        <f t="shared" si="32"/>
        <v>3900392.9401581273</v>
      </c>
      <c r="K51" s="119">
        <f t="shared" si="32"/>
        <v>4357714.0123916678</v>
      </c>
      <c r="L51" s="14">
        <f t="shared" si="28"/>
        <v>28089979.348412845</v>
      </c>
      <c r="M51" s="125">
        <f t="shared" si="29"/>
        <v>28089979.348412845</v>
      </c>
      <c r="N51" s="126">
        <f t="shared" si="30"/>
        <v>0.36373857943074001</v>
      </c>
    </row>
    <row r="52" spans="1:14" x14ac:dyDescent="0.25">
      <c r="A52" s="133" t="s">
        <v>163</v>
      </c>
      <c r="B52" s="120">
        <f>B43+B44+B46</f>
        <v>1763849.9999999998</v>
      </c>
      <c r="C52" s="120">
        <f>(C43+C44+C46)*(1+$B$6)^(C$21-1)</f>
        <v>2484810.3249999997</v>
      </c>
      <c r="D52" s="120">
        <f t="shared" ref="D52:K52" si="33">(D43+D44+D46)*(1+$B$6)^(D$21-1)</f>
        <v>3350587.2080968739</v>
      </c>
      <c r="E52" s="120">
        <f t="shared" si="33"/>
        <v>4385228.6850363817</v>
      </c>
      <c r="F52" s="120">
        <f t="shared" si="33"/>
        <v>2868137.7316251816</v>
      </c>
      <c r="G52" s="120">
        <f t="shared" si="33"/>
        <v>3204426.8806582359</v>
      </c>
      <c r="H52" s="120">
        <f t="shared" si="33"/>
        <v>3580145.9324154123</v>
      </c>
      <c r="I52" s="120">
        <f t="shared" si="33"/>
        <v>3999918.042991119</v>
      </c>
      <c r="J52" s="120">
        <f t="shared" si="33"/>
        <v>4468908.4335318301</v>
      </c>
      <c r="K52" s="121">
        <f t="shared" si="33"/>
        <v>4992887.9473634353</v>
      </c>
      <c r="L52" s="14">
        <f t="shared" si="28"/>
        <v>35098901.186718471</v>
      </c>
      <c r="M52" s="125">
        <f t="shared" si="29"/>
        <v>35098901.186718471</v>
      </c>
      <c r="N52" s="126">
        <f t="shared" si="30"/>
        <v>0.45449746683271414</v>
      </c>
    </row>
    <row r="53" spans="1:14" x14ac:dyDescent="0.25">
      <c r="A53" s="3" t="s">
        <v>56</v>
      </c>
      <c r="B53" s="14">
        <f>SUM(B48:B52)</f>
        <v>4387087.5</v>
      </c>
      <c r="C53" s="14">
        <f>SUM(C48:C52)</f>
        <v>5930994.5187499989</v>
      </c>
      <c r="D53" s="14">
        <f t="shared" ref="D53:K53" si="34">SUM(D48:D52)</f>
        <v>6683198.9551414046</v>
      </c>
      <c r="E53" s="14">
        <f t="shared" si="34"/>
        <v>8720805.0790094845</v>
      </c>
      <c r="F53" s="14">
        <f t="shared" si="34"/>
        <v>6394314.0440998552</v>
      </c>
      <c r="G53" s="14">
        <f t="shared" si="34"/>
        <v>7142604.9058128474</v>
      </c>
      <c r="H53" s="14">
        <f t="shared" si="34"/>
        <v>7978503.0496654883</v>
      </c>
      <c r="I53" s="14">
        <f t="shared" si="34"/>
        <v>8912268.7455630004</v>
      </c>
      <c r="J53" s="14">
        <f t="shared" si="34"/>
        <v>9955364.2285036817</v>
      </c>
      <c r="K53" s="14">
        <f t="shared" si="34"/>
        <v>11120594.53434626</v>
      </c>
      <c r="L53" s="48">
        <f>SUM(L48:L52)</f>
        <v>77225735.560892016</v>
      </c>
      <c r="M53" s="125">
        <f t="shared" si="29"/>
        <v>77225735.560892016</v>
      </c>
      <c r="N53" s="126">
        <f t="shared" si="30"/>
        <v>1</v>
      </c>
    </row>
    <row r="54" spans="1:14" x14ac:dyDescent="0.25">
      <c r="A54" s="3" t="s">
        <v>81</v>
      </c>
      <c r="B54" s="14">
        <f>B53</f>
        <v>4387087.5</v>
      </c>
      <c r="C54" s="14">
        <f>B54+C53</f>
        <v>10318082.018749999</v>
      </c>
      <c r="D54" s="14">
        <f t="shared" ref="D54:K54" si="35">C54+D53</f>
        <v>17001280.973891404</v>
      </c>
      <c r="E54" s="14">
        <f t="shared" si="35"/>
        <v>25722086.052900888</v>
      </c>
      <c r="F54" s="14">
        <f t="shared" si="35"/>
        <v>32116400.097000744</v>
      </c>
      <c r="G54" s="14">
        <f t="shared" si="35"/>
        <v>39259005.002813593</v>
      </c>
      <c r="H54" s="14">
        <f t="shared" si="35"/>
        <v>47237508.052479081</v>
      </c>
      <c r="I54" s="14">
        <f t="shared" si="35"/>
        <v>56149776.798042081</v>
      </c>
      <c r="J54" s="14">
        <f t="shared" si="35"/>
        <v>66105141.026545763</v>
      </c>
      <c r="K54" s="14">
        <f t="shared" si="35"/>
        <v>77225735.560892016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9"/>
  <sheetViews>
    <sheetView zoomScaleNormal="100" workbookViewId="0">
      <selection activeCell="A3" sqref="A3:B11"/>
    </sheetView>
  </sheetViews>
  <sheetFormatPr defaultRowHeight="15" x14ac:dyDescent="0.25"/>
  <cols>
    <col min="1" max="1" width="40.7109375" style="57" customWidth="1"/>
    <col min="2" max="11" width="15.7109375" customWidth="1"/>
    <col min="12" max="13" width="14.42578125" customWidth="1"/>
  </cols>
  <sheetData>
    <row r="2" spans="1:13" hidden="1" x14ac:dyDescent="0.25">
      <c r="A2" s="57" t="s">
        <v>164</v>
      </c>
      <c r="B2" s="7">
        <v>1</v>
      </c>
    </row>
    <row r="3" spans="1:13" x14ac:dyDescent="0.25">
      <c r="A3" s="57" t="s">
        <v>165</v>
      </c>
      <c r="B3" s="92">
        <v>250000</v>
      </c>
      <c r="C3" s="53" t="s">
        <v>166</v>
      </c>
    </row>
    <row r="4" spans="1:13" x14ac:dyDescent="0.25">
      <c r="A4" s="57" t="s">
        <v>167</v>
      </c>
      <c r="B4" s="93">
        <v>0.15</v>
      </c>
      <c r="C4" s="53" t="s">
        <v>168</v>
      </c>
    </row>
    <row r="5" spans="1:13" x14ac:dyDescent="0.25">
      <c r="B5" s="8"/>
    </row>
    <row r="6" spans="1:13" x14ac:dyDescent="0.25">
      <c r="A6" s="57" t="s">
        <v>0</v>
      </c>
      <c r="B6" s="55">
        <f>Summary!$B$2</f>
        <v>0.09</v>
      </c>
    </row>
    <row r="7" spans="1:13" x14ac:dyDescent="0.25">
      <c r="B7" s="9"/>
    </row>
    <row r="8" spans="1:13" x14ac:dyDescent="0.25">
      <c r="A8" s="57" t="s">
        <v>169</v>
      </c>
      <c r="B8" s="38">
        <f>SHR!B2</f>
        <v>10</v>
      </c>
    </row>
    <row r="9" spans="1:13" hidden="1" x14ac:dyDescent="0.25">
      <c r="A9" s="57" t="s">
        <v>103</v>
      </c>
      <c r="B9" s="8">
        <v>0</v>
      </c>
    </row>
    <row r="10" spans="1:13" x14ac:dyDescent="0.25">
      <c r="A10" s="57" t="s">
        <v>170</v>
      </c>
      <c r="B10" s="95">
        <v>4</v>
      </c>
      <c r="C10" s="53" t="s">
        <v>171</v>
      </c>
    </row>
    <row r="11" spans="1:13" x14ac:dyDescent="0.25">
      <c r="A11" s="57" t="s">
        <v>106</v>
      </c>
      <c r="B11" s="92">
        <v>1000</v>
      </c>
      <c r="C11" s="53" t="s">
        <v>172</v>
      </c>
    </row>
    <row r="13" spans="1:13" x14ac:dyDescent="0.25">
      <c r="A13" s="3" t="s">
        <v>14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4" t="s">
        <v>258</v>
      </c>
      <c r="M13" s="104" t="s">
        <v>259</v>
      </c>
    </row>
    <row r="14" spans="1:13" x14ac:dyDescent="0.25">
      <c r="A14" s="3" t="s">
        <v>173</v>
      </c>
      <c r="B14" s="39">
        <f>B8</f>
        <v>10</v>
      </c>
      <c r="C14" s="39">
        <f>B14*(1+$B$9)</f>
        <v>10</v>
      </c>
      <c r="D14" s="39">
        <f t="shared" ref="D14:K14" si="0">C14*(1+$B$9)</f>
        <v>10</v>
      </c>
      <c r="E14" s="39">
        <f t="shared" si="0"/>
        <v>10</v>
      </c>
      <c r="F14" s="39">
        <f t="shared" si="0"/>
        <v>10</v>
      </c>
      <c r="G14" s="39">
        <f t="shared" si="0"/>
        <v>10</v>
      </c>
      <c r="H14" s="39">
        <f t="shared" si="0"/>
        <v>10</v>
      </c>
      <c r="I14" s="39">
        <f t="shared" si="0"/>
        <v>10</v>
      </c>
      <c r="J14" s="39">
        <f t="shared" si="0"/>
        <v>10</v>
      </c>
      <c r="K14" s="39">
        <f t="shared" si="0"/>
        <v>10</v>
      </c>
    </row>
    <row r="15" spans="1:13" x14ac:dyDescent="0.25">
      <c r="A15" s="57" t="s">
        <v>109</v>
      </c>
      <c r="B15" s="4">
        <f>B14*$B$10</f>
        <v>40</v>
      </c>
      <c r="C15" s="4">
        <f t="shared" ref="C15:K15" si="1">C14*$B$10</f>
        <v>40</v>
      </c>
      <c r="D15" s="4">
        <f t="shared" si="1"/>
        <v>40</v>
      </c>
      <c r="E15" s="4">
        <f t="shared" si="1"/>
        <v>40</v>
      </c>
      <c r="F15" s="4">
        <f t="shared" si="1"/>
        <v>40</v>
      </c>
      <c r="G15" s="4">
        <f t="shared" si="1"/>
        <v>40</v>
      </c>
      <c r="H15" s="4">
        <f t="shared" si="1"/>
        <v>40</v>
      </c>
      <c r="I15" s="4">
        <f t="shared" si="1"/>
        <v>40</v>
      </c>
      <c r="J15" s="4">
        <f t="shared" si="1"/>
        <v>40</v>
      </c>
      <c r="K15" s="4">
        <f t="shared" si="1"/>
        <v>40</v>
      </c>
    </row>
    <row r="16" spans="1:13" x14ac:dyDescent="0.25">
      <c r="A16" s="57" t="s">
        <v>110</v>
      </c>
      <c r="B16" s="13">
        <f>B15*$B$11</f>
        <v>40000</v>
      </c>
      <c r="C16" s="13">
        <f>C15*$B$11*(1+$B$6)^(C$13-1)</f>
        <v>43600</v>
      </c>
      <c r="D16" s="13">
        <f t="shared" ref="D16:K16" si="2">D15*$B$11*(1+$B$6)^(D$13-1)</f>
        <v>47524.000000000007</v>
      </c>
      <c r="E16" s="13">
        <f t="shared" si="2"/>
        <v>51801.160000000011</v>
      </c>
      <c r="F16" s="13">
        <f t="shared" si="2"/>
        <v>56463.264400000007</v>
      </c>
      <c r="G16" s="13">
        <f t="shared" si="2"/>
        <v>61544.958196000021</v>
      </c>
      <c r="H16" s="13">
        <f t="shared" si="2"/>
        <v>67084.004433640031</v>
      </c>
      <c r="I16" s="13">
        <f t="shared" si="2"/>
        <v>73121.564832667631</v>
      </c>
      <c r="J16" s="13">
        <f t="shared" si="2"/>
        <v>79702.505667607722</v>
      </c>
      <c r="K16" s="13">
        <f t="shared" si="2"/>
        <v>86875.731177692418</v>
      </c>
      <c r="L16" s="90">
        <f>SUM(B16:K16)</f>
        <v>607717.1887076078</v>
      </c>
      <c r="M16" s="91">
        <f>L16/$K$19</f>
        <v>0.43722169217495177</v>
      </c>
    </row>
    <row r="17" spans="1:13" x14ac:dyDescent="0.25">
      <c r="A17" s="57" t="s">
        <v>174</v>
      </c>
      <c r="B17" s="13">
        <f>B2*B3</f>
        <v>250000</v>
      </c>
      <c r="C17" s="13">
        <f>$B$17*$B$4*(1+$B$6)^(C$13-1)</f>
        <v>40875</v>
      </c>
      <c r="D17" s="13">
        <f t="shared" ref="D17:K17" si="3">$B$17*$B$4*(1+$B$6)^(D$13-1)</f>
        <v>44553.750000000007</v>
      </c>
      <c r="E17" s="13">
        <f t="shared" si="3"/>
        <v>48563.587500000009</v>
      </c>
      <c r="F17" s="13">
        <f t="shared" si="3"/>
        <v>52934.310375000008</v>
      </c>
      <c r="G17" s="13">
        <f t="shared" si="3"/>
        <v>57698.398308750016</v>
      </c>
      <c r="H17" s="13">
        <f t="shared" si="3"/>
        <v>62891.254156537521</v>
      </c>
      <c r="I17" s="13">
        <f t="shared" si="3"/>
        <v>68551.467030625892</v>
      </c>
      <c r="J17" s="13">
        <f t="shared" si="3"/>
        <v>74721.099063382237</v>
      </c>
      <c r="K17" s="13">
        <f t="shared" si="3"/>
        <v>81445.997979086649</v>
      </c>
      <c r="L17" s="90">
        <f>SUM(B17:K17)</f>
        <v>782234.86441338225</v>
      </c>
      <c r="M17" s="91">
        <f>L17/$K$19</f>
        <v>0.56277830782504812</v>
      </c>
    </row>
    <row r="18" spans="1:13" x14ac:dyDescent="0.25">
      <c r="A18" s="3" t="s">
        <v>56</v>
      </c>
      <c r="B18" s="14">
        <f>B16+B17</f>
        <v>290000</v>
      </c>
      <c r="C18" s="14">
        <f>(C16+C17)</f>
        <v>84475</v>
      </c>
      <c r="D18" s="14">
        <f t="shared" ref="D18:K18" si="4">(D16+D17)</f>
        <v>92077.750000000015</v>
      </c>
      <c r="E18" s="14">
        <f t="shared" si="4"/>
        <v>100364.74750000003</v>
      </c>
      <c r="F18" s="14">
        <f t="shared" si="4"/>
        <v>109397.57477500002</v>
      </c>
      <c r="G18" s="14">
        <f t="shared" si="4"/>
        <v>119243.35650475003</v>
      </c>
      <c r="H18" s="14">
        <f t="shared" si="4"/>
        <v>129975.25859017755</v>
      </c>
      <c r="I18" s="14">
        <f t="shared" si="4"/>
        <v>141673.03186329352</v>
      </c>
      <c r="J18" s="14">
        <f t="shared" si="4"/>
        <v>154423.60473098996</v>
      </c>
      <c r="K18" s="14">
        <f t="shared" si="4"/>
        <v>168321.72915677907</v>
      </c>
      <c r="L18" s="90">
        <f>SUM(B18:K18)</f>
        <v>1389952.0531209903</v>
      </c>
      <c r="M18" s="91">
        <f>L18/$K$19</f>
        <v>1</v>
      </c>
    </row>
    <row r="19" spans="1:13" x14ac:dyDescent="0.25">
      <c r="A19" s="3" t="s">
        <v>94</v>
      </c>
      <c r="B19" s="14">
        <f>B18</f>
        <v>290000</v>
      </c>
      <c r="C19" s="14">
        <f>B19+C18</f>
        <v>374475</v>
      </c>
      <c r="D19" s="14">
        <f t="shared" ref="D19:K19" si="5">C19+D18</f>
        <v>466552.75</v>
      </c>
      <c r="E19" s="14">
        <f t="shared" si="5"/>
        <v>566917.49750000006</v>
      </c>
      <c r="F19" s="14">
        <f t="shared" si="5"/>
        <v>676315.07227500004</v>
      </c>
      <c r="G19" s="14">
        <f t="shared" si="5"/>
        <v>795558.42877975013</v>
      </c>
      <c r="H19" s="14">
        <f t="shared" si="5"/>
        <v>925533.68736992765</v>
      </c>
      <c r="I19" s="14">
        <f t="shared" si="5"/>
        <v>1067206.7192332211</v>
      </c>
      <c r="J19" s="14">
        <f t="shared" si="5"/>
        <v>1221630.3239642112</v>
      </c>
      <c r="K19" s="14">
        <f t="shared" si="5"/>
        <v>1389952.0531209903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19"/>
  <sheetViews>
    <sheetView zoomScaleNormal="100" workbookViewId="0">
      <selection activeCell="A2" sqref="A2:B11"/>
    </sheetView>
  </sheetViews>
  <sheetFormatPr defaultRowHeight="15" x14ac:dyDescent="0.25"/>
  <cols>
    <col min="1" max="1" width="41" style="57" customWidth="1"/>
    <col min="2" max="11" width="15.7109375" customWidth="1"/>
    <col min="12" max="12" width="14.42578125" customWidth="1"/>
    <col min="13" max="13" width="12.7109375" customWidth="1"/>
  </cols>
  <sheetData>
    <row r="2" spans="1:13" x14ac:dyDescent="0.25">
      <c r="A2" s="57" t="s">
        <v>175</v>
      </c>
      <c r="B2" s="95">
        <v>2</v>
      </c>
      <c r="C2" s="53" t="s">
        <v>176</v>
      </c>
    </row>
    <row r="3" spans="1:13" x14ac:dyDescent="0.25">
      <c r="A3" s="57" t="s">
        <v>177</v>
      </c>
      <c r="B3" s="83">
        <v>25000</v>
      </c>
      <c r="C3" s="53" t="s">
        <v>178</v>
      </c>
    </row>
    <row r="4" spans="1:13" x14ac:dyDescent="0.25">
      <c r="A4" s="57" t="s">
        <v>100</v>
      </c>
      <c r="B4" s="93">
        <v>0.15</v>
      </c>
      <c r="C4" s="53" t="s">
        <v>101</v>
      </c>
    </row>
    <row r="5" spans="1:13" x14ac:dyDescent="0.25">
      <c r="B5" s="8"/>
    </row>
    <row r="6" spans="1:13" x14ac:dyDescent="0.25">
      <c r="A6" s="57" t="s">
        <v>0</v>
      </c>
      <c r="B6" s="55">
        <f>Summary!$B$2</f>
        <v>0.09</v>
      </c>
    </row>
    <row r="7" spans="1:13" x14ac:dyDescent="0.25">
      <c r="B7" s="9"/>
    </row>
    <row r="8" spans="1:13" x14ac:dyDescent="0.25">
      <c r="A8" s="3" t="s">
        <v>179</v>
      </c>
      <c r="B8" s="38">
        <f>'ILR-FR'!B8</f>
        <v>6716</v>
      </c>
    </row>
    <row r="9" spans="1:13" x14ac:dyDescent="0.25">
      <c r="A9" s="57" t="s">
        <v>180</v>
      </c>
      <c r="B9" s="55">
        <f>'ILR-FR'!B9</f>
        <v>2.5000000000000001E-2</v>
      </c>
    </row>
    <row r="10" spans="1:13" x14ac:dyDescent="0.25">
      <c r="A10" s="57" t="s">
        <v>181</v>
      </c>
      <c r="B10" s="95">
        <v>12</v>
      </c>
      <c r="C10" s="53" t="s">
        <v>182</v>
      </c>
    </row>
    <row r="11" spans="1:13" x14ac:dyDescent="0.25">
      <c r="A11" s="57" t="s">
        <v>106</v>
      </c>
      <c r="B11" s="92">
        <v>10</v>
      </c>
      <c r="C11" s="53" t="s">
        <v>183</v>
      </c>
    </row>
    <row r="13" spans="1:13" x14ac:dyDescent="0.25">
      <c r="A13" s="3" t="s">
        <v>14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104" t="s">
        <v>258</v>
      </c>
      <c r="M13" s="104" t="s">
        <v>259</v>
      </c>
    </row>
    <row r="14" spans="1:13" x14ac:dyDescent="0.25">
      <c r="A14" s="57" t="s">
        <v>108</v>
      </c>
      <c r="B14" s="4">
        <f>B8</f>
        <v>6716</v>
      </c>
      <c r="C14" s="4">
        <f t="shared" ref="C14:K14" si="0">B14*(1+$B$9)</f>
        <v>6883.9</v>
      </c>
      <c r="D14" s="4">
        <f t="shared" si="0"/>
        <v>7055.9974999999986</v>
      </c>
      <c r="E14" s="4">
        <f t="shared" si="0"/>
        <v>7232.397437499998</v>
      </c>
      <c r="F14" s="4">
        <f t="shared" si="0"/>
        <v>7413.2073734374972</v>
      </c>
      <c r="G14" s="4">
        <f t="shared" si="0"/>
        <v>7598.5375577734339</v>
      </c>
      <c r="H14" s="4">
        <f t="shared" si="0"/>
        <v>7788.5009967177693</v>
      </c>
      <c r="I14" s="4">
        <f t="shared" si="0"/>
        <v>7983.2135216357128</v>
      </c>
      <c r="J14" s="4">
        <f t="shared" si="0"/>
        <v>8182.7938596766053</v>
      </c>
      <c r="K14" s="4">
        <f t="shared" si="0"/>
        <v>8387.3637061685204</v>
      </c>
    </row>
    <row r="15" spans="1:13" x14ac:dyDescent="0.25">
      <c r="A15" s="57" t="s">
        <v>262</v>
      </c>
      <c r="B15" s="4">
        <f>B14*$B$10</f>
        <v>80592</v>
      </c>
      <c r="C15" s="4">
        <f t="shared" ref="C15:K15" si="1">C14*$B$10</f>
        <v>82606.799999999988</v>
      </c>
      <c r="D15" s="4">
        <f t="shared" si="1"/>
        <v>84671.969999999987</v>
      </c>
      <c r="E15" s="4">
        <f t="shared" si="1"/>
        <v>86788.769249999983</v>
      </c>
      <c r="F15" s="4">
        <f t="shared" si="1"/>
        <v>88958.488481249966</v>
      </c>
      <c r="G15" s="4">
        <f t="shared" si="1"/>
        <v>91182.450693281207</v>
      </c>
      <c r="H15" s="4">
        <f t="shared" si="1"/>
        <v>93462.011960613236</v>
      </c>
      <c r="I15" s="4">
        <f t="shared" si="1"/>
        <v>95798.562259628554</v>
      </c>
      <c r="J15" s="4">
        <f t="shared" si="1"/>
        <v>98193.526316119271</v>
      </c>
      <c r="K15" s="4">
        <f t="shared" si="1"/>
        <v>100648.36447402224</v>
      </c>
    </row>
    <row r="16" spans="1:13" x14ac:dyDescent="0.25">
      <c r="A16" s="57" t="s">
        <v>260</v>
      </c>
      <c r="B16" s="13">
        <f>B15*$B$11</f>
        <v>805920</v>
      </c>
      <c r="C16" s="13">
        <f>C15*$B$11*(1+$B$6)^(C$13-1)</f>
        <v>900414.12</v>
      </c>
      <c r="D16" s="13">
        <f t="shared" ref="D16:K16" si="2">D15*$B$11*(1+$B$6)^(D$13-1)</f>
        <v>1005987.67557</v>
      </c>
      <c r="E16" s="13">
        <f t="shared" si="2"/>
        <v>1123939.7305305826</v>
      </c>
      <c r="F16" s="13">
        <f t="shared" si="2"/>
        <v>1255721.663935293</v>
      </c>
      <c r="G16" s="13">
        <f t="shared" si="2"/>
        <v>1402955.0290317063</v>
      </c>
      <c r="H16" s="13">
        <f t="shared" si="2"/>
        <v>1567451.5061856739</v>
      </c>
      <c r="I16" s="13">
        <f t="shared" si="2"/>
        <v>1751235.1952859438</v>
      </c>
      <c r="J16" s="13">
        <f t="shared" si="2"/>
        <v>1956567.5219332208</v>
      </c>
      <c r="K16" s="13">
        <f t="shared" si="2"/>
        <v>2185975.0638798908</v>
      </c>
      <c r="L16" s="90">
        <f>SUM(B16:K16)</f>
        <v>13956167.506352311</v>
      </c>
      <c r="M16" s="91">
        <f>L16/$K$19</f>
        <v>0.98891438768394968</v>
      </c>
    </row>
    <row r="17" spans="1:13" x14ac:dyDescent="0.25">
      <c r="A17" s="57" t="s">
        <v>261</v>
      </c>
      <c r="B17" s="13">
        <f>B2*B3</f>
        <v>50000</v>
      </c>
      <c r="C17" s="13">
        <f>$B$2*$B$3*$B$4*(1+$B$6)^(C$13-1)</f>
        <v>8175.0000000000009</v>
      </c>
      <c r="D17" s="13">
        <f t="shared" ref="D17:K17" si="3">$B$2*$B$3*$B$4*(1+$B$6)^(D$13-1)</f>
        <v>8910.7500000000018</v>
      </c>
      <c r="E17" s="13">
        <f t="shared" si="3"/>
        <v>9712.7175000000007</v>
      </c>
      <c r="F17" s="13">
        <f t="shared" si="3"/>
        <v>10586.862075000003</v>
      </c>
      <c r="G17" s="13">
        <f t="shared" si="3"/>
        <v>11539.679661750004</v>
      </c>
      <c r="H17" s="13">
        <f t="shared" si="3"/>
        <v>12578.250831307505</v>
      </c>
      <c r="I17" s="13">
        <f t="shared" si="3"/>
        <v>13710.29340612518</v>
      </c>
      <c r="J17" s="13">
        <f t="shared" si="3"/>
        <v>14944.219812676447</v>
      </c>
      <c r="K17" s="13">
        <f t="shared" si="3"/>
        <v>16289.199595817328</v>
      </c>
      <c r="L17" s="90">
        <f>SUM(B17:K17)</f>
        <v>156446.97288267649</v>
      </c>
      <c r="M17" s="91">
        <f>L17/$K$19</f>
        <v>1.1085612316050252E-2</v>
      </c>
    </row>
    <row r="18" spans="1:13" x14ac:dyDescent="0.25">
      <c r="A18" s="3" t="s">
        <v>56</v>
      </c>
      <c r="B18" s="14">
        <f>B16+B17</f>
        <v>855920</v>
      </c>
      <c r="C18" s="14">
        <f>(C16+C17)</f>
        <v>908589.12</v>
      </c>
      <c r="D18" s="14">
        <f t="shared" ref="D18:K18" si="4">(D16+D17)</f>
        <v>1014898.42557</v>
      </c>
      <c r="E18" s="14">
        <f t="shared" si="4"/>
        <v>1133652.4480305826</v>
      </c>
      <c r="F18" s="14">
        <f t="shared" si="4"/>
        <v>1266308.526010293</v>
      </c>
      <c r="G18" s="14">
        <f t="shared" si="4"/>
        <v>1414494.7086934564</v>
      </c>
      <c r="H18" s="14">
        <f t="shared" si="4"/>
        <v>1580029.7570169815</v>
      </c>
      <c r="I18" s="14">
        <f t="shared" si="4"/>
        <v>1764945.488692069</v>
      </c>
      <c r="J18" s="14">
        <f t="shared" si="4"/>
        <v>1971511.7417458973</v>
      </c>
      <c r="K18" s="14">
        <f t="shared" si="4"/>
        <v>2202264.2634757082</v>
      </c>
      <c r="L18" s="90">
        <f>SUM(B18:K18)</f>
        <v>14112614.479234988</v>
      </c>
      <c r="M18" s="91">
        <f>L18/$K$19</f>
        <v>1</v>
      </c>
    </row>
    <row r="19" spans="1:13" x14ac:dyDescent="0.25">
      <c r="A19" s="3" t="s">
        <v>94</v>
      </c>
      <c r="B19" s="14">
        <f>B18</f>
        <v>855920</v>
      </c>
      <c r="C19" s="14">
        <f>B19+C18</f>
        <v>1764509.12</v>
      </c>
      <c r="D19" s="14">
        <f t="shared" ref="D19:K19" si="5">C19+D18</f>
        <v>2779407.5455700001</v>
      </c>
      <c r="E19" s="14">
        <f t="shared" si="5"/>
        <v>3913059.9936005827</v>
      </c>
      <c r="F19" s="14">
        <f t="shared" si="5"/>
        <v>5179368.5196108762</v>
      </c>
      <c r="G19" s="14">
        <f t="shared" si="5"/>
        <v>6593863.2283043321</v>
      </c>
      <c r="H19" s="14">
        <f t="shared" si="5"/>
        <v>8173892.9853213131</v>
      </c>
      <c r="I19" s="14">
        <f t="shared" si="5"/>
        <v>9938838.4740133826</v>
      </c>
      <c r="J19" s="14">
        <f t="shared" si="5"/>
        <v>11910350.215759279</v>
      </c>
      <c r="K19" s="14">
        <f t="shared" si="5"/>
        <v>14112614.479234988</v>
      </c>
    </row>
  </sheetData>
  <pageMargins left="0.7" right="0.7" top="0.75" bottom="0.75" header="0.3" footer="0.3"/>
  <pageSetup scale="71" orientation="landscape" verticalDpi="4294967293" r:id="rId1"/>
  <customProperties>
    <customPr name="LastActive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EB64-3711-44E0-B300-65DF31ED87BC}">
  <dimension ref="A1:M26"/>
  <sheetViews>
    <sheetView zoomScaleNormal="100" workbookViewId="0">
      <selection activeCell="A8" sqref="A8:B11"/>
    </sheetView>
  </sheetViews>
  <sheetFormatPr defaultRowHeight="15" x14ac:dyDescent="0.25"/>
  <cols>
    <col min="1" max="1" width="57.28515625" customWidth="1"/>
    <col min="2" max="11" width="15.7109375" customWidth="1"/>
    <col min="12" max="12" width="17.140625" customWidth="1"/>
    <col min="13" max="13" width="9.85546875" customWidth="1"/>
  </cols>
  <sheetData>
    <row r="1" spans="1:13" x14ac:dyDescent="0.25">
      <c r="A1" s="53" t="s">
        <v>184</v>
      </c>
    </row>
    <row r="2" spans="1:13" x14ac:dyDescent="0.25">
      <c r="A2" s="88" t="s">
        <v>185</v>
      </c>
    </row>
    <row r="3" spans="1:13" x14ac:dyDescent="0.25">
      <c r="A3" s="88" t="s">
        <v>267</v>
      </c>
    </row>
    <row r="4" spans="1:13" x14ac:dyDescent="0.25">
      <c r="A4" s="88" t="s">
        <v>186</v>
      </c>
    </row>
    <row r="5" spans="1:13" x14ac:dyDescent="0.25">
      <c r="A5" s="88"/>
    </row>
    <row r="6" spans="1:13" x14ac:dyDescent="0.25">
      <c r="A6" s="57" t="s">
        <v>0</v>
      </c>
      <c r="B6" s="42">
        <f>Summary!B2</f>
        <v>0.09</v>
      </c>
    </row>
    <row r="7" spans="1:13" x14ac:dyDescent="0.25">
      <c r="A7" s="57"/>
    </row>
    <row r="8" spans="1:13" x14ac:dyDescent="0.25">
      <c r="A8" s="57" t="s">
        <v>187</v>
      </c>
      <c r="B8" s="92">
        <v>250</v>
      </c>
      <c r="C8" s="53" t="s">
        <v>188</v>
      </c>
    </row>
    <row r="9" spans="1:13" x14ac:dyDescent="0.25">
      <c r="A9" s="57" t="s">
        <v>189</v>
      </c>
      <c r="B9" s="92">
        <v>10</v>
      </c>
      <c r="C9" s="53" t="s">
        <v>190</v>
      </c>
    </row>
    <row r="10" spans="1:13" x14ac:dyDescent="0.25">
      <c r="A10" s="57" t="s">
        <v>191</v>
      </c>
      <c r="B10" s="92">
        <v>500000</v>
      </c>
      <c r="C10" s="53" t="s">
        <v>192</v>
      </c>
    </row>
    <row r="11" spans="1:13" x14ac:dyDescent="0.25">
      <c r="A11" s="57" t="s">
        <v>193</v>
      </c>
      <c r="B11" s="92">
        <v>100000</v>
      </c>
      <c r="C11" s="53" t="s">
        <v>194</v>
      </c>
    </row>
    <row r="12" spans="1:13" x14ac:dyDescent="0.25">
      <c r="A12" s="57"/>
    </row>
    <row r="13" spans="1:13" x14ac:dyDescent="0.25">
      <c r="A13" s="57"/>
    </row>
    <row r="14" spans="1:13" x14ac:dyDescent="0.25">
      <c r="A14" s="3" t="s">
        <v>14</v>
      </c>
      <c r="B14" s="6">
        <v>1</v>
      </c>
      <c r="C14" s="6">
        <v>2</v>
      </c>
      <c r="D14" s="6">
        <v>3</v>
      </c>
      <c r="E14" s="6">
        <v>4</v>
      </c>
      <c r="F14" s="6">
        <v>5</v>
      </c>
      <c r="G14" s="6">
        <v>6</v>
      </c>
      <c r="H14" s="6">
        <v>7</v>
      </c>
      <c r="I14" s="6">
        <v>8</v>
      </c>
      <c r="J14" s="6">
        <v>9</v>
      </c>
      <c r="K14" s="6">
        <v>10</v>
      </c>
      <c r="L14" s="19" t="s">
        <v>15</v>
      </c>
      <c r="M14" s="19" t="s">
        <v>259</v>
      </c>
    </row>
    <row r="15" spans="1:13" x14ac:dyDescent="0.25">
      <c r="A15" s="57" t="s">
        <v>195</v>
      </c>
      <c r="B15" s="4">
        <f>'ILR-HWR'!B14</f>
        <v>20605</v>
      </c>
      <c r="C15" s="4">
        <f>'ILR-HWR'!C14-'ILR-HWR'!B14</f>
        <v>515.12499999999636</v>
      </c>
      <c r="D15" s="4">
        <f>'ILR-HWR'!D14-'ILR-HWR'!C14</f>
        <v>528.00312499999927</v>
      </c>
      <c r="E15" s="4">
        <f>'ILR-HWR'!E14-'ILR-HWR'!D14</f>
        <v>541.20320312499825</v>
      </c>
      <c r="F15" s="4">
        <f>'ILR-HWR'!F14-'ILR-HWR'!E14</f>
        <v>554.7332832031243</v>
      </c>
      <c r="G15" s="4">
        <f>'ILR-HWR'!G14-'ILR-HWR'!F14</f>
        <v>568.60161528320168</v>
      </c>
      <c r="H15" s="4">
        <f>'ILR-HWR'!H14-'ILR-HWR'!G14</f>
        <v>582.81665566527954</v>
      </c>
      <c r="I15" s="4">
        <f>'ILR-HWR'!I14-'ILR-HWR'!H14</f>
        <v>597.38707205691389</v>
      </c>
      <c r="J15" s="4">
        <f>'ILR-HWR'!J14-'ILR-HWR'!I14</f>
        <v>612.32174885833592</v>
      </c>
      <c r="K15" s="4">
        <f>'ILR-HWR'!K14-'ILR-HWR'!J14</f>
        <v>627.62979257979532</v>
      </c>
    </row>
    <row r="16" spans="1:13" x14ac:dyDescent="0.25">
      <c r="A16" s="57" t="s">
        <v>196</v>
      </c>
      <c r="B16" s="4">
        <v>0</v>
      </c>
      <c r="C16" s="4">
        <f>B16+B15</f>
        <v>20605</v>
      </c>
      <c r="D16" s="4">
        <f t="shared" ref="D16:K16" si="0">C16+C15</f>
        <v>21120.124999999996</v>
      </c>
      <c r="E16" s="4">
        <f t="shared" si="0"/>
        <v>21648.128124999996</v>
      </c>
      <c r="F16" s="4">
        <f t="shared" si="0"/>
        <v>22189.331328124994</v>
      </c>
      <c r="G16" s="4">
        <f t="shared" si="0"/>
        <v>22744.064611328118</v>
      </c>
      <c r="H16" s="4">
        <f t="shared" si="0"/>
        <v>23312.66622661132</v>
      </c>
      <c r="I16" s="4">
        <f t="shared" si="0"/>
        <v>23895.482882276599</v>
      </c>
      <c r="J16" s="4">
        <f t="shared" si="0"/>
        <v>24492.869954333513</v>
      </c>
      <c r="K16" s="4">
        <f t="shared" si="0"/>
        <v>25105.191703191849</v>
      </c>
    </row>
    <row r="17" spans="1:13" x14ac:dyDescent="0.25">
      <c r="A17" s="57"/>
      <c r="B17" s="89" t="s">
        <v>197</v>
      </c>
      <c r="C17" s="4"/>
      <c r="D17" s="4"/>
      <c r="E17" s="4"/>
      <c r="F17" s="4"/>
      <c r="G17" s="4"/>
      <c r="H17" s="4"/>
      <c r="I17" s="4"/>
      <c r="J17" s="4"/>
      <c r="K17" s="4"/>
    </row>
    <row r="18" spans="1:13" x14ac:dyDescent="0.25">
      <c r="A18" s="57" t="s">
        <v>198</v>
      </c>
      <c r="B18" s="95">
        <v>1</v>
      </c>
      <c r="C18" s="95">
        <v>1</v>
      </c>
      <c r="D18" s="95"/>
      <c r="E18" s="95"/>
      <c r="F18" s="95"/>
      <c r="G18" s="95"/>
      <c r="H18" s="95"/>
      <c r="I18" s="95"/>
      <c r="J18" s="95"/>
      <c r="K18" s="95"/>
    </row>
    <row r="19" spans="1:13" x14ac:dyDescent="0.25">
      <c r="A19" s="57" t="s">
        <v>199</v>
      </c>
      <c r="B19" s="4">
        <f>B18</f>
        <v>1</v>
      </c>
      <c r="C19" s="4">
        <f>B19+C18</f>
        <v>2</v>
      </c>
      <c r="D19" s="4">
        <f t="shared" ref="D19:K19" si="1">C19+D18</f>
        <v>2</v>
      </c>
      <c r="E19" s="4">
        <f t="shared" si="1"/>
        <v>2</v>
      </c>
      <c r="F19" s="4">
        <f t="shared" si="1"/>
        <v>2</v>
      </c>
      <c r="G19" s="4">
        <f t="shared" si="1"/>
        <v>2</v>
      </c>
      <c r="H19" s="4">
        <f t="shared" si="1"/>
        <v>2</v>
      </c>
      <c r="I19" s="4">
        <f t="shared" si="1"/>
        <v>2</v>
      </c>
      <c r="J19" s="4">
        <f t="shared" si="1"/>
        <v>2</v>
      </c>
      <c r="K19" s="4">
        <f t="shared" si="1"/>
        <v>2</v>
      </c>
    </row>
    <row r="20" spans="1:13" x14ac:dyDescent="0.25">
      <c r="A20" s="57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3" x14ac:dyDescent="0.25">
      <c r="A21" s="57" t="s">
        <v>200</v>
      </c>
      <c r="B21" s="13">
        <f>B15*$B$8</f>
        <v>5151250</v>
      </c>
      <c r="C21" s="13">
        <f>C15*$B$8*(1+$B$6)^(C$14-1)</f>
        <v>140371.56249999904</v>
      </c>
      <c r="D21" s="13">
        <f t="shared" ref="D21:K21" si="2">D15*$B$8*(1+$B$6)^(D$14-1)</f>
        <v>156830.12820312483</v>
      </c>
      <c r="E21" s="13">
        <f t="shared" si="2"/>
        <v>175218.46073494086</v>
      </c>
      <c r="F21" s="13">
        <f t="shared" si="2"/>
        <v>195762.82525611308</v>
      </c>
      <c r="G21" s="13">
        <f t="shared" si="2"/>
        <v>218716.01651739207</v>
      </c>
      <c r="H21" s="13">
        <f t="shared" si="2"/>
        <v>244360.46945405542</v>
      </c>
      <c r="I21" s="13">
        <f t="shared" si="2"/>
        <v>273011.73449754447</v>
      </c>
      <c r="J21" s="13">
        <f t="shared" si="2"/>
        <v>305022.36036738119</v>
      </c>
      <c r="K21" s="13">
        <f t="shared" si="2"/>
        <v>340786.23212045722</v>
      </c>
      <c r="L21" s="90">
        <f>SUM(B21:K21)</f>
        <v>7201329.7896510083</v>
      </c>
      <c r="M21" s="91">
        <f>L21/$K$26</f>
        <v>0.49784363532074899</v>
      </c>
    </row>
    <row r="22" spans="1:13" x14ac:dyDescent="0.25">
      <c r="A22" s="57" t="s">
        <v>201</v>
      </c>
      <c r="B22" s="13">
        <f>B16*$B$9</f>
        <v>0</v>
      </c>
      <c r="C22" s="13">
        <f>C16*$B$9*(1+$B$6)^(C$14-1)</f>
        <v>224594.50000000003</v>
      </c>
      <c r="D22" s="13">
        <f t="shared" ref="D22:K22" si="3">D16*$B$9*(1+$B$6)^(D$14-1)</f>
        <v>250928.20512500001</v>
      </c>
      <c r="E22" s="13">
        <f t="shared" si="3"/>
        <v>280349.53717590624</v>
      </c>
      <c r="F22" s="13">
        <f t="shared" si="3"/>
        <v>313220.52040978125</v>
      </c>
      <c r="G22" s="13">
        <f t="shared" si="3"/>
        <v>349945.62642782816</v>
      </c>
      <c r="H22" s="13">
        <f t="shared" si="3"/>
        <v>390976.751126491</v>
      </c>
      <c r="I22" s="13">
        <f t="shared" si="3"/>
        <v>436818.77519607195</v>
      </c>
      <c r="J22" s="13">
        <f t="shared" si="3"/>
        <v>488035.77658781142</v>
      </c>
      <c r="K22" s="13">
        <f t="shared" si="3"/>
        <v>545257.97139273223</v>
      </c>
      <c r="L22" s="90">
        <f t="shared" ref="L22:L25" si="4">SUM(B22:K22)</f>
        <v>3280127.6634416217</v>
      </c>
      <c r="M22" s="91">
        <f t="shared" ref="M22:M25" si="5">L22/$K$26</f>
        <v>0.226762379724741</v>
      </c>
    </row>
    <row r="23" spans="1:13" x14ac:dyDescent="0.25">
      <c r="A23" s="57" t="s">
        <v>202</v>
      </c>
      <c r="B23" s="13">
        <f>B18*$B$10</f>
        <v>500000</v>
      </c>
      <c r="C23" s="13">
        <f>C18*$B$10*(1+$B$6)^(C$14-1)</f>
        <v>545000</v>
      </c>
      <c r="D23" s="13">
        <f t="shared" ref="D23:K23" si="6">D18*$B$10*(1+$B$6)^(D$14-1)</f>
        <v>0</v>
      </c>
      <c r="E23" s="13">
        <f t="shared" si="6"/>
        <v>0</v>
      </c>
      <c r="F23" s="13">
        <f t="shared" si="6"/>
        <v>0</v>
      </c>
      <c r="G23" s="13">
        <f t="shared" si="6"/>
        <v>0</v>
      </c>
      <c r="H23" s="13">
        <f t="shared" si="6"/>
        <v>0</v>
      </c>
      <c r="I23" s="13">
        <f t="shared" si="6"/>
        <v>0</v>
      </c>
      <c r="J23" s="13">
        <f t="shared" si="6"/>
        <v>0</v>
      </c>
      <c r="K23" s="13">
        <f t="shared" si="6"/>
        <v>0</v>
      </c>
      <c r="L23" s="90">
        <f t="shared" si="4"/>
        <v>1045000</v>
      </c>
      <c r="M23" s="91">
        <f t="shared" si="5"/>
        <v>7.2243129270072634E-2</v>
      </c>
    </row>
    <row r="24" spans="1:13" x14ac:dyDescent="0.25">
      <c r="A24" s="57" t="s">
        <v>203</v>
      </c>
      <c r="B24" s="13">
        <f>B19*$B$11</f>
        <v>100000</v>
      </c>
      <c r="C24" s="13">
        <f>C19*$B$11*(1+$B$6)^(C$14-1)</f>
        <v>218000.00000000003</v>
      </c>
      <c r="D24" s="13">
        <f t="shared" ref="D24:K24" si="7">D19*$B$11*(1+$B$6)^(D$14-1)</f>
        <v>237620.00000000003</v>
      </c>
      <c r="E24" s="13">
        <f t="shared" si="7"/>
        <v>259005.80000000005</v>
      </c>
      <c r="F24" s="13">
        <f t="shared" si="7"/>
        <v>282316.32200000004</v>
      </c>
      <c r="G24" s="13">
        <f t="shared" si="7"/>
        <v>307724.79098000011</v>
      </c>
      <c r="H24" s="13">
        <f t="shared" si="7"/>
        <v>335420.02216820011</v>
      </c>
      <c r="I24" s="13">
        <f t="shared" si="7"/>
        <v>365607.82416333811</v>
      </c>
      <c r="J24" s="13">
        <f t="shared" si="7"/>
        <v>398512.5283380386</v>
      </c>
      <c r="K24" s="13">
        <f t="shared" si="7"/>
        <v>434378.65588846209</v>
      </c>
      <c r="L24" s="90">
        <f t="shared" si="4"/>
        <v>2938585.9435380385</v>
      </c>
      <c r="M24" s="91">
        <f t="shared" si="5"/>
        <v>0.20315085568443719</v>
      </c>
    </row>
    <row r="25" spans="1:13" x14ac:dyDescent="0.25">
      <c r="A25" s="3" t="s">
        <v>56</v>
      </c>
      <c r="B25" s="14">
        <f>SUM(B21:B24)</f>
        <v>5751250</v>
      </c>
      <c r="C25" s="14">
        <f>SUM(C21:C24)</f>
        <v>1127966.0624999991</v>
      </c>
      <c r="D25" s="14">
        <f t="shared" ref="D25:K25" si="8">SUM(D21:D24)</f>
        <v>645378.33332812483</v>
      </c>
      <c r="E25" s="14">
        <f t="shared" si="8"/>
        <v>714573.79791084712</v>
      </c>
      <c r="F25" s="14">
        <f t="shared" si="8"/>
        <v>791299.66766589438</v>
      </c>
      <c r="G25" s="14">
        <f t="shared" si="8"/>
        <v>876386.43392522028</v>
      </c>
      <c r="H25" s="14">
        <f t="shared" si="8"/>
        <v>970757.24274874653</v>
      </c>
      <c r="I25" s="14">
        <f t="shared" si="8"/>
        <v>1075438.3338569545</v>
      </c>
      <c r="J25" s="14">
        <f t="shared" si="8"/>
        <v>1191570.6652932311</v>
      </c>
      <c r="K25" s="14">
        <f t="shared" si="8"/>
        <v>1320422.8594016517</v>
      </c>
      <c r="L25" s="90">
        <f t="shared" si="4"/>
        <v>14465043.396630671</v>
      </c>
      <c r="M25" s="91">
        <f t="shared" si="5"/>
        <v>1</v>
      </c>
    </row>
    <row r="26" spans="1:13" x14ac:dyDescent="0.25">
      <c r="A26" s="3" t="s">
        <v>94</v>
      </c>
      <c r="B26" s="14">
        <f>B25</f>
        <v>5751250</v>
      </c>
      <c r="C26" s="14">
        <f>B26+C25</f>
        <v>6879216.0624999991</v>
      </c>
      <c r="D26" s="14">
        <f t="shared" ref="D26:K26" si="9">C26+D25</f>
        <v>7524594.3958281241</v>
      </c>
      <c r="E26" s="14">
        <f t="shared" si="9"/>
        <v>8239168.1937389709</v>
      </c>
      <c r="F26" s="14">
        <f t="shared" si="9"/>
        <v>9030467.861404866</v>
      </c>
      <c r="G26" s="14">
        <f t="shared" si="9"/>
        <v>9906854.2953300867</v>
      </c>
      <c r="H26" s="14">
        <f t="shared" si="9"/>
        <v>10877611.538078833</v>
      </c>
      <c r="I26" s="14">
        <f t="shared" si="9"/>
        <v>11953049.871935789</v>
      </c>
      <c r="J26" s="14">
        <f t="shared" si="9"/>
        <v>13144620.53722902</v>
      </c>
      <c r="K26" s="14">
        <f t="shared" si="9"/>
        <v>14465043.396630671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1"/>
  <sheetViews>
    <sheetView zoomScaleNormal="100" workbookViewId="0">
      <selection activeCell="E7" sqref="E7"/>
    </sheetView>
  </sheetViews>
  <sheetFormatPr defaultRowHeight="15" x14ac:dyDescent="0.25"/>
  <cols>
    <col min="1" max="1" width="31.28515625" customWidth="1"/>
    <col min="2" max="2" width="17.28515625" customWidth="1"/>
    <col min="3" max="3" width="17.5703125" customWidth="1"/>
    <col min="4" max="4" width="17.28515625" customWidth="1"/>
    <col min="5" max="5" width="15.7109375" customWidth="1"/>
    <col min="6" max="6" width="15.5703125" customWidth="1"/>
    <col min="7" max="7" width="14.7109375" bestFit="1" customWidth="1"/>
    <col min="8" max="9" width="15.85546875" customWidth="1"/>
    <col min="10" max="10" width="14.28515625" customWidth="1"/>
    <col min="11" max="11" width="15.140625" customWidth="1"/>
    <col min="15" max="15" width="10.5703125" bestFit="1" customWidth="1"/>
  </cols>
  <sheetData>
    <row r="1" spans="1:15" x14ac:dyDescent="0.25">
      <c r="A1" t="s">
        <v>204</v>
      </c>
      <c r="B1" s="42">
        <f>Summary!B8</f>
        <v>2.5000000000000001E-2</v>
      </c>
    </row>
    <row r="2" spans="1:15" x14ac:dyDescent="0.25">
      <c r="A2" s="2" t="s">
        <v>205</v>
      </c>
      <c r="B2" s="83">
        <v>1600</v>
      </c>
      <c r="C2" s="78" t="s">
        <v>206</v>
      </c>
    </row>
    <row r="4" spans="1:15" x14ac:dyDescent="0.25">
      <c r="A4" s="3" t="s">
        <v>207</v>
      </c>
      <c r="B4" s="96" t="s">
        <v>269</v>
      </c>
      <c r="C4" s="96" t="s">
        <v>208</v>
      </c>
      <c r="D4" s="96" t="s">
        <v>270</v>
      </c>
      <c r="E4" s="96" t="s">
        <v>271</v>
      </c>
      <c r="F4" s="96" t="s">
        <v>272</v>
      </c>
      <c r="G4" s="77" t="s">
        <v>209</v>
      </c>
      <c r="H4" s="77" t="s">
        <v>210</v>
      </c>
      <c r="I4" s="76"/>
      <c r="J4" s="76"/>
    </row>
    <row r="5" spans="1:15" x14ac:dyDescent="0.25">
      <c r="A5" s="57" t="s">
        <v>211</v>
      </c>
      <c r="B5" s="95">
        <v>368388</v>
      </c>
      <c r="C5" s="95">
        <v>151410</v>
      </c>
      <c r="D5" s="95">
        <v>888979</v>
      </c>
      <c r="E5" s="95">
        <v>424713</v>
      </c>
      <c r="F5" s="95">
        <v>328420</v>
      </c>
      <c r="G5" s="39">
        <f>SUM(B5:F5)</f>
        <v>2161910</v>
      </c>
      <c r="H5" s="2"/>
      <c r="I5" s="2" t="s">
        <v>212</v>
      </c>
    </row>
    <row r="6" spans="1:15" x14ac:dyDescent="0.25">
      <c r="A6" s="57" t="s">
        <v>213</v>
      </c>
      <c r="B6" s="95">
        <v>4</v>
      </c>
      <c r="C6" s="95">
        <v>4</v>
      </c>
      <c r="D6" s="95">
        <v>4</v>
      </c>
      <c r="E6" s="95">
        <v>4</v>
      </c>
      <c r="F6" s="95">
        <v>4</v>
      </c>
      <c r="G6" s="2"/>
      <c r="H6" s="2"/>
    </row>
    <row r="7" spans="1:15" x14ac:dyDescent="0.25">
      <c r="A7" s="57" t="s">
        <v>214</v>
      </c>
      <c r="B7" s="93">
        <v>0.05</v>
      </c>
      <c r="C7" s="93">
        <v>0.05</v>
      </c>
      <c r="D7" s="93">
        <v>0.05</v>
      </c>
      <c r="E7" s="93">
        <v>0.05</v>
      </c>
      <c r="F7" s="93">
        <v>0.05</v>
      </c>
      <c r="G7" s="2"/>
      <c r="H7" s="2"/>
    </row>
    <row r="8" spans="1:15" x14ac:dyDescent="0.25">
      <c r="A8" s="57" t="s">
        <v>215</v>
      </c>
      <c r="G8" s="2"/>
      <c r="H8" s="2"/>
    </row>
    <row r="9" spans="1:15" x14ac:dyDescent="0.25">
      <c r="A9" s="57">
        <v>1</v>
      </c>
      <c r="B9" s="4">
        <f t="shared" ref="B9:F18" si="0">IF($A9&gt;B$6,1,0)*B$7*B$5*(1+$B$1)^($A9-1)</f>
        <v>0</v>
      </c>
      <c r="C9" s="4">
        <f t="shared" si="0"/>
        <v>0</v>
      </c>
      <c r="D9" s="4">
        <f t="shared" si="0"/>
        <v>0</v>
      </c>
      <c r="E9" s="4">
        <f t="shared" si="0"/>
        <v>0</v>
      </c>
      <c r="F9" s="4">
        <f t="shared" si="0"/>
        <v>0</v>
      </c>
      <c r="G9" s="39">
        <f t="shared" ref="G9:G19" si="1">SUM(B9:F9)</f>
        <v>0</v>
      </c>
      <c r="H9" s="79">
        <f>G9</f>
        <v>0</v>
      </c>
      <c r="I9" s="13"/>
      <c r="O9" s="2"/>
    </row>
    <row r="10" spans="1:15" x14ac:dyDescent="0.25">
      <c r="A10" s="57">
        <v>2</v>
      </c>
      <c r="B10" s="4">
        <f t="shared" si="0"/>
        <v>0</v>
      </c>
      <c r="C10" s="4">
        <f t="shared" si="0"/>
        <v>0</v>
      </c>
      <c r="D10" s="4">
        <f t="shared" si="0"/>
        <v>0</v>
      </c>
      <c r="E10" s="4">
        <f t="shared" si="0"/>
        <v>0</v>
      </c>
      <c r="F10" s="4">
        <f t="shared" si="0"/>
        <v>0</v>
      </c>
      <c r="G10" s="39">
        <f t="shared" si="1"/>
        <v>0</v>
      </c>
      <c r="H10" s="79">
        <f>H9+G10</f>
        <v>0</v>
      </c>
      <c r="I10" s="13"/>
      <c r="O10" s="51"/>
    </row>
    <row r="11" spans="1:15" x14ac:dyDescent="0.25">
      <c r="A11" s="57">
        <v>3</v>
      </c>
      <c r="B11" s="4">
        <f t="shared" si="0"/>
        <v>0</v>
      </c>
      <c r="C11" s="4">
        <f t="shared" si="0"/>
        <v>0</v>
      </c>
      <c r="D11" s="4">
        <f t="shared" si="0"/>
        <v>0</v>
      </c>
      <c r="E11" s="4">
        <f t="shared" si="0"/>
        <v>0</v>
      </c>
      <c r="F11" s="4">
        <f t="shared" si="0"/>
        <v>0</v>
      </c>
      <c r="G11" s="80">
        <f t="shared" si="1"/>
        <v>0</v>
      </c>
      <c r="H11" s="81">
        <f t="shared" ref="H11:H18" si="2">H10+G11</f>
        <v>0</v>
      </c>
      <c r="I11" s="13"/>
    </row>
    <row r="12" spans="1:15" x14ac:dyDescent="0.25">
      <c r="A12" s="57">
        <v>4</v>
      </c>
      <c r="B12" s="4">
        <f t="shared" si="0"/>
        <v>0</v>
      </c>
      <c r="C12" s="4">
        <f t="shared" si="0"/>
        <v>0</v>
      </c>
      <c r="D12" s="4">
        <f t="shared" si="0"/>
        <v>0</v>
      </c>
      <c r="E12" s="4">
        <f t="shared" si="0"/>
        <v>0</v>
      </c>
      <c r="F12" s="4">
        <f t="shared" si="0"/>
        <v>0</v>
      </c>
      <c r="G12" s="80">
        <f t="shared" si="1"/>
        <v>0</v>
      </c>
      <c r="H12" s="81">
        <f t="shared" si="2"/>
        <v>0</v>
      </c>
      <c r="I12" s="13"/>
    </row>
    <row r="13" spans="1:15" x14ac:dyDescent="0.25">
      <c r="A13" s="57">
        <v>5</v>
      </c>
      <c r="B13" s="4">
        <f>IF($A13&gt;B$6,1,0)*B$7*B$5*(1+$B$1)^($A13-1)</f>
        <v>20331.571157578121</v>
      </c>
      <c r="C13" s="4">
        <f t="shared" si="0"/>
        <v>8356.4154884765612</v>
      </c>
      <c r="D13" s="4">
        <f t="shared" si="0"/>
        <v>49063.323984746086</v>
      </c>
      <c r="E13" s="4">
        <f t="shared" si="0"/>
        <v>23440.184210800777</v>
      </c>
      <c r="F13" s="4">
        <f t="shared" si="0"/>
        <v>18125.711476953122</v>
      </c>
      <c r="G13" s="80">
        <f t="shared" si="1"/>
        <v>119317.20631855467</v>
      </c>
      <c r="H13" s="81">
        <f t="shared" si="2"/>
        <v>119317.20631855467</v>
      </c>
      <c r="I13" s="13"/>
    </row>
    <row r="14" spans="1:15" x14ac:dyDescent="0.25">
      <c r="A14" s="57">
        <v>6</v>
      </c>
      <c r="B14" s="4">
        <f t="shared" si="0"/>
        <v>20839.860436517574</v>
      </c>
      <c r="C14" s="4">
        <f t="shared" si="0"/>
        <v>8565.3258756884734</v>
      </c>
      <c r="D14" s="4">
        <f t="shared" si="0"/>
        <v>50289.907084364735</v>
      </c>
      <c r="E14" s="4">
        <f t="shared" si="0"/>
        <v>24026.188816070797</v>
      </c>
      <c r="F14" s="4">
        <f t="shared" si="0"/>
        <v>18578.854263876947</v>
      </c>
      <c r="G14" s="80">
        <f t="shared" si="1"/>
        <v>122300.13647651853</v>
      </c>
      <c r="H14" s="81">
        <f t="shared" si="2"/>
        <v>241617.3427950732</v>
      </c>
      <c r="I14" s="13"/>
    </row>
    <row r="15" spans="1:15" x14ac:dyDescent="0.25">
      <c r="A15" s="57">
        <v>7</v>
      </c>
      <c r="B15" s="4">
        <f t="shared" si="0"/>
        <v>21360.856947430511</v>
      </c>
      <c r="C15" s="4">
        <f t="shared" si="0"/>
        <v>8779.459022580686</v>
      </c>
      <c r="D15" s="4">
        <f t="shared" si="0"/>
        <v>51547.154761473852</v>
      </c>
      <c r="E15" s="4">
        <f t="shared" si="0"/>
        <v>24626.843536472563</v>
      </c>
      <c r="F15" s="4">
        <f t="shared" si="0"/>
        <v>19043.325620473868</v>
      </c>
      <c r="G15" s="80">
        <f t="shared" si="1"/>
        <v>125357.63988843148</v>
      </c>
      <c r="H15" s="81">
        <f t="shared" si="2"/>
        <v>366974.9826835047</v>
      </c>
      <c r="I15" s="13"/>
    </row>
    <row r="16" spans="1:15" x14ac:dyDescent="0.25">
      <c r="A16" s="57">
        <v>8</v>
      </c>
      <c r="B16" s="4">
        <f t="shared" si="0"/>
        <v>21894.878371116276</v>
      </c>
      <c r="C16" s="4">
        <f t="shared" si="0"/>
        <v>8998.9454981452036</v>
      </c>
      <c r="D16" s="4">
        <f t="shared" si="0"/>
        <v>52835.8336305107</v>
      </c>
      <c r="E16" s="4">
        <f t="shared" si="0"/>
        <v>25242.514624884378</v>
      </c>
      <c r="F16" s="4">
        <f t="shared" si="0"/>
        <v>19519.408760985716</v>
      </c>
      <c r="G16" s="80">
        <f t="shared" si="1"/>
        <v>128491.58088564227</v>
      </c>
      <c r="H16" s="81">
        <f t="shared" si="2"/>
        <v>495466.56356914697</v>
      </c>
      <c r="I16" s="13"/>
    </row>
    <row r="17" spans="1:11" x14ac:dyDescent="0.25">
      <c r="A17" s="57">
        <v>9</v>
      </c>
      <c r="B17" s="4">
        <f t="shared" si="0"/>
        <v>22442.250330394181</v>
      </c>
      <c r="C17" s="4">
        <f t="shared" si="0"/>
        <v>9223.9191355988314</v>
      </c>
      <c r="D17" s="4">
        <f t="shared" si="0"/>
        <v>54156.729471273458</v>
      </c>
      <c r="E17" s="4">
        <f t="shared" si="0"/>
        <v>25873.577490506486</v>
      </c>
      <c r="F17" s="4">
        <f t="shared" si="0"/>
        <v>20007.393980010358</v>
      </c>
      <c r="G17" s="80">
        <f t="shared" si="1"/>
        <v>131703.87040778331</v>
      </c>
      <c r="H17" s="81">
        <f t="shared" si="2"/>
        <v>627170.43397693033</v>
      </c>
      <c r="I17" s="13"/>
    </row>
    <row r="18" spans="1:11" x14ac:dyDescent="0.25">
      <c r="A18" s="57">
        <v>10</v>
      </c>
      <c r="B18" s="4">
        <f t="shared" si="0"/>
        <v>23003.306588654032</v>
      </c>
      <c r="C18" s="4">
        <f t="shared" si="0"/>
        <v>9454.5171139888007</v>
      </c>
      <c r="D18" s="4">
        <f t="shared" si="0"/>
        <v>55510.647708055287</v>
      </c>
      <c r="E18" s="4">
        <f t="shared" si="0"/>
        <v>26520.416927769144</v>
      </c>
      <c r="F18" s="4">
        <f t="shared" si="0"/>
        <v>20507.578829510614</v>
      </c>
      <c r="G18" s="80">
        <f t="shared" si="1"/>
        <v>134996.46716797785</v>
      </c>
      <c r="H18" s="81">
        <f t="shared" si="2"/>
        <v>762166.90114490816</v>
      </c>
      <c r="I18" s="13"/>
    </row>
    <row r="19" spans="1:11" x14ac:dyDescent="0.25">
      <c r="A19" s="3" t="s">
        <v>216</v>
      </c>
      <c r="B19" s="75">
        <f>SUM(B9:B18)</f>
        <v>129872.72383169069</v>
      </c>
      <c r="C19" s="75">
        <f t="shared" ref="C19:F19" si="3">SUM(C9:C18)</f>
        <v>53378.582134478551</v>
      </c>
      <c r="D19" s="75">
        <f t="shared" si="3"/>
        <v>313403.5966404241</v>
      </c>
      <c r="E19" s="75">
        <f t="shared" si="3"/>
        <v>149729.72560650416</v>
      </c>
      <c r="F19" s="75">
        <f t="shared" si="3"/>
        <v>115782.27293181063</v>
      </c>
      <c r="G19" s="5">
        <f t="shared" si="1"/>
        <v>762166.90114490804</v>
      </c>
      <c r="H19" s="2"/>
    </row>
    <row r="21" spans="1:11" x14ac:dyDescent="0.25">
      <c r="A21" s="3" t="s">
        <v>14</v>
      </c>
      <c r="B21" s="6">
        <v>1</v>
      </c>
      <c r="C21" s="6">
        <v>2</v>
      </c>
      <c r="D21" s="6">
        <v>3</v>
      </c>
      <c r="E21" s="6">
        <v>4</v>
      </c>
      <c r="F21" s="6">
        <v>5</v>
      </c>
      <c r="G21" s="6">
        <v>6</v>
      </c>
      <c r="H21" s="6">
        <v>7</v>
      </c>
      <c r="I21" s="6">
        <v>8</v>
      </c>
      <c r="J21" s="6">
        <v>9</v>
      </c>
      <c r="K21" s="6">
        <v>10</v>
      </c>
    </row>
    <row r="22" spans="1:11" x14ac:dyDescent="0.25">
      <c r="A22" s="3" t="s">
        <v>209</v>
      </c>
      <c r="B22" s="74">
        <f>G9</f>
        <v>0</v>
      </c>
      <c r="C22" s="74">
        <f>G10</f>
        <v>0</v>
      </c>
      <c r="D22" s="74">
        <f>G11</f>
        <v>0</v>
      </c>
      <c r="E22" s="74">
        <f>G12</f>
        <v>0</v>
      </c>
      <c r="F22" s="74">
        <f>G13</f>
        <v>119317.20631855467</v>
      </c>
      <c r="G22" s="74">
        <f>G14</f>
        <v>122300.13647651853</v>
      </c>
      <c r="H22" s="74">
        <f>G15</f>
        <v>125357.63988843148</v>
      </c>
      <c r="I22" s="74">
        <f>G16</f>
        <v>128491.58088564227</v>
      </c>
      <c r="J22" s="74">
        <f>G17</f>
        <v>131703.87040778331</v>
      </c>
      <c r="K22" s="74">
        <f>G18</f>
        <v>134996.46716797785</v>
      </c>
    </row>
    <row r="23" spans="1:11" x14ac:dyDescent="0.25">
      <c r="A23" s="3" t="s">
        <v>217</v>
      </c>
      <c r="B23" s="74">
        <f>B22</f>
        <v>0</v>
      </c>
      <c r="C23" s="74">
        <f>B23+C22</f>
        <v>0</v>
      </c>
      <c r="D23" s="74">
        <f t="shared" ref="D23:K23" si="4">C23+D22</f>
        <v>0</v>
      </c>
      <c r="E23" s="74">
        <f t="shared" si="4"/>
        <v>0</v>
      </c>
      <c r="F23" s="74">
        <f t="shared" si="4"/>
        <v>119317.20631855467</v>
      </c>
      <c r="G23" s="74">
        <f t="shared" si="4"/>
        <v>241617.3427950732</v>
      </c>
      <c r="H23" s="74">
        <f t="shared" si="4"/>
        <v>366974.9826835047</v>
      </c>
      <c r="I23" s="74">
        <f t="shared" si="4"/>
        <v>495466.56356914697</v>
      </c>
      <c r="J23" s="74">
        <f t="shared" si="4"/>
        <v>627170.43397693033</v>
      </c>
      <c r="K23" s="74">
        <f t="shared" si="4"/>
        <v>762166.90114490816</v>
      </c>
    </row>
    <row r="24" spans="1:11" x14ac:dyDescent="0.25">
      <c r="A24" s="3" t="s">
        <v>218</v>
      </c>
      <c r="B24" s="13">
        <f>Summary!B24</f>
        <v>14592902.5</v>
      </c>
      <c r="C24" s="13">
        <f ca="1">Summary!C24</f>
        <v>9786015.2312499993</v>
      </c>
      <c r="D24" s="13">
        <f ca="1">Summary!D24</f>
        <v>10336124.272182029</v>
      </c>
      <c r="E24" s="13">
        <f ca="1">Summary!E24</f>
        <v>12752772.986313123</v>
      </c>
      <c r="F24" s="13">
        <f ca="1">Summary!F24</f>
        <v>11240576.474890444</v>
      </c>
      <c r="G24" s="13">
        <f ca="1">Summary!G24</f>
        <v>13259296.50027067</v>
      </c>
      <c r="H24" s="13">
        <f ca="1">Summary!H24</f>
        <v>13449922.615465216</v>
      </c>
      <c r="I24" s="13">
        <f ca="1">Summary!I24</f>
        <v>14955673.647296879</v>
      </c>
      <c r="J24" s="13">
        <f ca="1">Summary!J24</f>
        <v>16631561.272075964</v>
      </c>
      <c r="K24" s="13">
        <f ca="1">Summary!K24</f>
        <v>19105086.979171254</v>
      </c>
    </row>
    <row r="25" spans="1:11" x14ac:dyDescent="0.25">
      <c r="A25" s="3" t="s">
        <v>219</v>
      </c>
      <c r="B25" s="13">
        <f>Summary!B25</f>
        <v>14592902.5</v>
      </c>
      <c r="C25" s="13">
        <f ca="1">Summary!C25</f>
        <v>24378917.731249999</v>
      </c>
      <c r="D25" s="13">
        <f ca="1">Summary!D25</f>
        <v>34715042.003432028</v>
      </c>
      <c r="E25" s="13">
        <f ca="1">Summary!E25</f>
        <v>47467814.989745155</v>
      </c>
      <c r="F25" s="13">
        <f ca="1">Summary!F25</f>
        <v>58708391.464635596</v>
      </c>
      <c r="G25" s="13">
        <f ca="1">Summary!G25</f>
        <v>71967687.96490626</v>
      </c>
      <c r="H25" s="13">
        <f ca="1">Summary!H25</f>
        <v>85417610.580371469</v>
      </c>
      <c r="I25" s="13">
        <f ca="1">Summary!I25</f>
        <v>100373284.22766834</v>
      </c>
      <c r="J25" s="13">
        <f ca="1">Summary!J25</f>
        <v>117004845.49974431</v>
      </c>
      <c r="K25" s="13">
        <f ca="1">Summary!K25</f>
        <v>136109932.47891557</v>
      </c>
    </row>
    <row r="26" spans="1:11" x14ac:dyDescent="0.25">
      <c r="A26" s="3" t="s">
        <v>220</v>
      </c>
      <c r="B26" s="11">
        <f>IF(B22=0,B24,B24/B22)</f>
        <v>14592902.5</v>
      </c>
      <c r="C26" s="11">
        <f t="shared" ref="C26:K26" ca="1" si="5">IF(C22=0,C24,C24/C22)</f>
        <v>9786015.2312499993</v>
      </c>
      <c r="D26" s="11">
        <f t="shared" ca="1" si="5"/>
        <v>10336124.272182029</v>
      </c>
      <c r="E26" s="11">
        <f t="shared" ca="1" si="5"/>
        <v>12752772.986313123</v>
      </c>
      <c r="F26" s="11">
        <f t="shared" ca="1" si="5"/>
        <v>94.207506374899552</v>
      </c>
      <c r="G26" s="11">
        <f t="shared" ca="1" si="5"/>
        <v>108.41604009833986</v>
      </c>
      <c r="H26" s="11">
        <f t="shared" ca="1" si="5"/>
        <v>107.29240457490801</v>
      </c>
      <c r="I26" s="11">
        <f t="shared" ca="1" si="5"/>
        <v>116.39419130975948</v>
      </c>
      <c r="J26" s="11">
        <f t="shared" ca="1" si="5"/>
        <v>126.27997355416434</v>
      </c>
      <c r="K26" s="11">
        <f t="shared" ca="1" si="5"/>
        <v>141.52286633840978</v>
      </c>
    </row>
    <row r="27" spans="1:11" x14ac:dyDescent="0.25">
      <c r="A27" s="3" t="s">
        <v>221</v>
      </c>
      <c r="B27" s="11">
        <f>IF(B23=0,B25,B25/B23)</f>
        <v>14592902.5</v>
      </c>
      <c r="C27" s="11">
        <f t="shared" ref="C27:K27" ca="1" si="6">IF(C23=0,C25,C25/C23)</f>
        <v>24378917.731249999</v>
      </c>
      <c r="D27" s="11">
        <f t="shared" ca="1" si="6"/>
        <v>34715042.003432028</v>
      </c>
      <c r="E27" s="11">
        <f t="shared" ca="1" si="6"/>
        <v>47467814.989745155</v>
      </c>
      <c r="F27" s="11">
        <f t="shared" ca="1" si="6"/>
        <v>492.03625592687064</v>
      </c>
      <c r="G27" s="11">
        <f t="shared" ca="1" si="6"/>
        <v>297.85812198897236</v>
      </c>
      <c r="H27" s="11">
        <f t="shared" ca="1" si="6"/>
        <v>232.76139958030697</v>
      </c>
      <c r="I27" s="11">
        <f t="shared" ca="1" si="6"/>
        <v>202.58336607947575</v>
      </c>
      <c r="J27" s="11">
        <f t="shared" ca="1" si="6"/>
        <v>186.55988733047991</v>
      </c>
      <c r="K27" s="11">
        <f t="shared" ca="1" si="6"/>
        <v>178.58284356674977</v>
      </c>
    </row>
    <row r="28" spans="1:11" x14ac:dyDescent="0.25">
      <c r="A28" s="3" t="s">
        <v>222</v>
      </c>
      <c r="B28" s="51">
        <f>$B$2/B26</f>
        <v>1.0964234154240392E-4</v>
      </c>
      <c r="C28" s="51">
        <f t="shared" ref="C28:K28" ca="1" si="7">$B$2/C26</f>
        <v>1.6349862147063376E-4</v>
      </c>
      <c r="D28" s="51">
        <f t="shared" ca="1" si="7"/>
        <v>1.5479690045002031E-4</v>
      </c>
      <c r="E28" s="51">
        <f t="shared" ca="1" si="7"/>
        <v>1.2546290926037775E-4</v>
      </c>
      <c r="F28" s="51">
        <f t="shared" ca="1" si="7"/>
        <v>16.983784642730981</v>
      </c>
      <c r="G28" s="51">
        <f t="shared" ca="1" si="7"/>
        <v>14.757963845098049</v>
      </c>
      <c r="H28" s="51">
        <f t="shared" ca="1" si="7"/>
        <v>14.912518797012634</v>
      </c>
      <c r="I28" s="51">
        <f t="shared" ca="1" si="7"/>
        <v>13.746390451237598</v>
      </c>
      <c r="J28" s="51">
        <f t="shared" ca="1" si="7"/>
        <v>12.670259226129183</v>
      </c>
      <c r="K28" s="51">
        <f t="shared" ca="1" si="7"/>
        <v>11.305593515708455</v>
      </c>
    </row>
    <row r="29" spans="1:11" x14ac:dyDescent="0.25">
      <c r="A29" s="3" t="s">
        <v>223</v>
      </c>
      <c r="B29" s="51">
        <f>B26/$B$2</f>
        <v>9120.5640624999996</v>
      </c>
      <c r="C29" s="51">
        <f t="shared" ref="C29:K29" ca="1" si="8">C26/$B$2</f>
        <v>6116.2595195312497</v>
      </c>
      <c r="D29" s="51">
        <f t="shared" ca="1" si="8"/>
        <v>6460.0776701137684</v>
      </c>
      <c r="E29" s="51">
        <f t="shared" ca="1" si="8"/>
        <v>7970.4831164457019</v>
      </c>
      <c r="F29" s="51">
        <f t="shared" ca="1" si="8"/>
        <v>5.887969148431222E-2</v>
      </c>
      <c r="G29" s="51">
        <f t="shared" ca="1" si="8"/>
        <v>6.776002506146242E-2</v>
      </c>
      <c r="H29" s="51">
        <f t="shared" ca="1" si="8"/>
        <v>6.7057752859317504E-2</v>
      </c>
      <c r="I29" s="51">
        <f t="shared" ca="1" si="8"/>
        <v>7.2746369568599673E-2</v>
      </c>
      <c r="J29" s="51">
        <f t="shared" ca="1" si="8"/>
        <v>7.8924983471352711E-2</v>
      </c>
      <c r="K29" s="51">
        <f t="shared" ca="1" si="8"/>
        <v>8.8451791461506113E-2</v>
      </c>
    </row>
    <row r="30" spans="1:11" x14ac:dyDescent="0.25">
      <c r="A30" s="3" t="s">
        <v>224</v>
      </c>
      <c r="B30" s="51">
        <f>$B$2/B27</f>
        <v>1.0964234154240392E-4</v>
      </c>
      <c r="C30" s="51">
        <f t="shared" ref="C30:K30" ca="1" si="9">$B$2/C27</f>
        <v>6.563047702273706E-5</v>
      </c>
      <c r="D30" s="51">
        <f t="shared" ca="1" si="9"/>
        <v>4.6089530867968398E-5</v>
      </c>
      <c r="E30" s="51">
        <f t="shared" ca="1" si="9"/>
        <v>3.3707049720861611E-5</v>
      </c>
      <c r="F30" s="51">
        <f t="shared" ca="1" si="9"/>
        <v>3.2517928927534183</v>
      </c>
      <c r="G30" s="51">
        <f t="shared" ca="1" si="9"/>
        <v>5.3716849798013468</v>
      </c>
      <c r="H30" s="51">
        <f t="shared" ca="1" si="9"/>
        <v>6.8739920059123483</v>
      </c>
      <c r="I30" s="51">
        <f t="shared" ca="1" si="9"/>
        <v>7.8979830919203007</v>
      </c>
      <c r="J30" s="51">
        <f t="shared" ca="1" si="9"/>
        <v>8.5763345105676105</v>
      </c>
      <c r="K30" s="51">
        <f t="shared" ca="1" si="9"/>
        <v>8.9594272778054425</v>
      </c>
    </row>
    <row r="31" spans="1:11" x14ac:dyDescent="0.25">
      <c r="A31" s="3" t="s">
        <v>225</v>
      </c>
      <c r="B31" s="51">
        <f>B27/$B$2</f>
        <v>9120.5640624999996</v>
      </c>
      <c r="C31" s="51">
        <f t="shared" ref="C31:K31" ca="1" si="10">C27/$B$2</f>
        <v>15236.823582031249</v>
      </c>
      <c r="D31" s="51">
        <f t="shared" ca="1" si="10"/>
        <v>21696.901252145017</v>
      </c>
      <c r="E31" s="51">
        <f t="shared" ca="1" si="10"/>
        <v>29667.384368590723</v>
      </c>
      <c r="F31" s="51">
        <f t="shared" ca="1" si="10"/>
        <v>0.30752265995429418</v>
      </c>
      <c r="G31" s="51">
        <f t="shared" ca="1" si="10"/>
        <v>0.18616132624310772</v>
      </c>
      <c r="H31" s="51">
        <f t="shared" ca="1" si="10"/>
        <v>0.14547587473769186</v>
      </c>
      <c r="I31" s="51">
        <f t="shared" ca="1" si="10"/>
        <v>0.12661460379967235</v>
      </c>
      <c r="J31" s="51">
        <f t="shared" ca="1" si="10"/>
        <v>0.11659992958154994</v>
      </c>
      <c r="K31" s="51">
        <f t="shared" ca="1" si="10"/>
        <v>0.11161427722921861</v>
      </c>
    </row>
  </sheetData>
  <conditionalFormatting sqref="B26">
    <cfRule type="cellIs" dxfId="11" priority="13" operator="lessThan">
      <formula>$B$2</formula>
    </cfRule>
    <cfRule type="cellIs" dxfId="10" priority="14" operator="greaterThan">
      <formula>$B$2</formula>
    </cfRule>
  </conditionalFormatting>
  <conditionalFormatting sqref="B26:K27">
    <cfRule type="cellIs" dxfId="9" priority="9" operator="lessThan">
      <formula>$B$2</formula>
    </cfRule>
    <cfRule type="cellIs" dxfId="8" priority="10" operator="greaterThan">
      <formula>$B$2</formula>
    </cfRule>
  </conditionalFormatting>
  <conditionalFormatting sqref="B28:K28">
    <cfRule type="cellIs" dxfId="7" priority="7" operator="greaterThan">
      <formula>1</formula>
    </cfRule>
    <cfRule type="cellIs" dxfId="6" priority="8" operator="lessThan">
      <formula>1</formula>
    </cfRule>
  </conditionalFormatting>
  <conditionalFormatting sqref="B29:K29">
    <cfRule type="cellIs" dxfId="5" priority="3" operator="lessThan">
      <formula>1</formula>
    </cfRule>
    <cfRule type="cellIs" dxfId="4" priority="4" operator="greaterThan">
      <formula>1</formula>
    </cfRule>
  </conditionalFormatting>
  <conditionalFormatting sqref="B30:K30">
    <cfRule type="cellIs" dxfId="3" priority="5" operator="greaterThan">
      <formula>1</formula>
    </cfRule>
    <cfRule type="cellIs" dxfId="2" priority="6" operator="lessThan">
      <formula>1</formula>
    </cfRule>
  </conditionalFormatting>
  <conditionalFormatting sqref="B31:K31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  <pageSetup orientation="portrait" horizontalDpi="4294967293" verticalDpi="4294967293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</vt:vector>
  </HeadingPairs>
  <TitlesOfParts>
    <vt:vector size="12" baseType="lpstr">
      <vt:lpstr>Summary</vt:lpstr>
      <vt:lpstr>Governance</vt:lpstr>
      <vt:lpstr>Datacentre</vt:lpstr>
      <vt:lpstr>CR</vt:lpstr>
      <vt:lpstr>ILR-FR</vt:lpstr>
      <vt:lpstr>ILR-HWR</vt:lpstr>
      <vt:lpstr>SHR</vt:lpstr>
      <vt:lpstr>TS</vt:lpstr>
      <vt:lpstr>HMIS</vt:lpstr>
      <vt:lpstr>HRH Capacity</vt:lpstr>
      <vt:lpstr>CUA</vt:lpstr>
      <vt:lpstr>Ratio CET to Cost-per-QALY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Ritz</dc:creator>
  <cp:keywords/>
  <dc:description/>
  <cp:lastModifiedBy>Derek Ritz</cp:lastModifiedBy>
  <cp:revision/>
  <dcterms:created xsi:type="dcterms:W3CDTF">2016-09-12T15:00:51Z</dcterms:created>
  <dcterms:modified xsi:type="dcterms:W3CDTF">2024-08-01T04:45:53Z</dcterms:modified>
  <cp:category/>
  <cp:contentStatus/>
</cp:coreProperties>
</file>