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https://d.docs.live.net/8fe56b9ef4ca82ce/Documents/Healthcare/World Bank Group/2024-06 Buildable Digital Health Blueprint Toolkit/"/>
    </mc:Choice>
  </mc:AlternateContent>
  <xr:revisionPtr revIDLastSave="24" documentId="8_{4EA58E2C-AC6F-441C-9B60-A2B845E7420B}" xr6:coauthVersionLast="47" xr6:coauthVersionMax="47" xr10:uidLastSave="{7D744CF9-A432-4718-AB16-B9EA1340210A}"/>
  <bookViews>
    <workbookView xWindow="28680" yWindow="1680" windowWidth="29040" windowHeight="15720" firstSheet="1" activeTab="1" xr2:uid="{D595A97B-3DE0-4C5F-A73D-ABB26F64B8C6}"/>
  </bookViews>
  <sheets>
    <sheet name="GDHM Questions" sheetId="1" state="hidden" r:id="rId1"/>
    <sheet name="Raw Data" sheetId="2" r:id="rId2"/>
    <sheet name="GDHM Scores" sheetId="3" r:id="rId3"/>
    <sheet name="Spider Graph"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3" i="2" l="1"/>
  <c r="H32" i="2"/>
  <c r="H31" i="2"/>
  <c r="H30" i="2"/>
  <c r="H29" i="2"/>
  <c r="H28" i="2"/>
  <c r="H27" i="2"/>
  <c r="H26" i="2"/>
  <c r="H25" i="2"/>
  <c r="H23" i="2"/>
  <c r="H22" i="2"/>
  <c r="H21" i="2"/>
  <c r="H20" i="2"/>
  <c r="H19" i="2"/>
  <c r="H18" i="2"/>
  <c r="H17" i="2"/>
  <c r="H16" i="2"/>
  <c r="H15" i="2"/>
  <c r="H14" i="2"/>
  <c r="H13" i="2"/>
  <c r="H12" i="2"/>
  <c r="H11" i="2"/>
  <c r="H10" i="2"/>
  <c r="H9" i="2"/>
  <c r="H8" i="2"/>
  <c r="H7" i="2"/>
  <c r="H6" i="2"/>
  <c r="H5" i="2"/>
  <c r="H4" i="2"/>
  <c r="H3" i="2"/>
  <c r="G33" i="2"/>
  <c r="G32" i="2"/>
  <c r="G31" i="2"/>
  <c r="G30" i="2"/>
  <c r="G29" i="2"/>
  <c r="G28" i="2"/>
  <c r="G27" i="2"/>
  <c r="G26" i="2"/>
  <c r="G25" i="2"/>
  <c r="B7" i="3" s="1"/>
  <c r="G23" i="2"/>
  <c r="G22" i="2"/>
  <c r="G21" i="2"/>
  <c r="G20" i="2"/>
  <c r="G19" i="2"/>
  <c r="G18" i="2"/>
  <c r="G17" i="2"/>
  <c r="G16" i="2"/>
  <c r="G15" i="2"/>
  <c r="G14" i="2"/>
  <c r="G13" i="2"/>
  <c r="G12" i="2"/>
  <c r="G11" i="2"/>
  <c r="G10" i="2"/>
  <c r="G9" i="2"/>
  <c r="G8" i="2"/>
  <c r="G7" i="2"/>
  <c r="G6" i="2"/>
  <c r="G5" i="2"/>
  <c r="G4" i="2"/>
  <c r="G3" i="2"/>
  <c r="A25" i="2"/>
  <c r="A33" i="2"/>
  <c r="A32" i="2"/>
  <c r="A31" i="2"/>
  <c r="A30" i="2"/>
  <c r="A29" i="2"/>
  <c r="A28" i="2"/>
  <c r="A27" i="2"/>
  <c r="A26" i="2"/>
  <c r="A23" i="2"/>
  <c r="A22" i="2"/>
  <c r="A21" i="2"/>
  <c r="A20" i="2"/>
  <c r="A19" i="2"/>
  <c r="A18" i="2"/>
  <c r="A17" i="2"/>
  <c r="A16" i="2"/>
  <c r="A15" i="2"/>
  <c r="A14" i="2"/>
  <c r="A13" i="2"/>
  <c r="A12" i="2"/>
  <c r="A11" i="2"/>
  <c r="A10" i="2"/>
  <c r="A9" i="2"/>
  <c r="A8" i="2"/>
  <c r="A7" i="2"/>
  <c r="A6" i="2"/>
  <c r="A5" i="2"/>
  <c r="A4" i="2"/>
  <c r="A3" i="2"/>
  <c r="B8" i="3" l="1"/>
  <c r="B6" i="3"/>
  <c r="B5" i="3"/>
  <c r="B4" i="3"/>
  <c r="B3" i="3"/>
  <c r="B2" i="3"/>
  <c r="B9" i="3" l="1"/>
</calcChain>
</file>

<file path=xl/sharedStrings.xml><?xml version="1.0" encoding="utf-8"?>
<sst xmlns="http://schemas.openxmlformats.org/spreadsheetml/2006/main" count="47" uniqueCount="47">
  <si>
    <t>Indicator 1 -Digital health prioritized at the national level through dedicated bodies / mechanisms for governance
Does the country have a separate department / agency / national working group for digital health?</t>
  </si>
  <si>
    <t>Indicator 2 -Digital Health prioritized at the national level through planning
Is digital health included and budgeted for in national health or relevant national strategies and/or plan(s)? Note: The focus of this indicator is on the inclusion of digital health or eHealth in the national health strategy.</t>
  </si>
  <si>
    <t>Indicator 2a -Health is prioritized in national digital transformation and data governance policies
Do national digital transformation and data governance policies and approaches consider and address potential benefits and risks for public health and individual health?</t>
  </si>
  <si>
    <t>Indicator 3 -Readiness for emerging technologies adoption and governance
Is there a national plan specific to emerging technologies (e.g., AI, Wearables, Blockchain, IoT) to support public health goals?</t>
  </si>
  <si>
    <t>Indicator 4 -Diversity, Equity, and human rights analysis, planning and monitoring included in national digital health strategies and plans
Has the country assessed/adapted national digital health strategies from an equity and human rights perspective?</t>
  </si>
  <si>
    <t>Indicator 4a -Gender considerations accounted for in digital health strategies and digital health governance
Does the country include gender considerations in the national digital health strategy or its digital health governance?</t>
  </si>
  <si>
    <t>Indicator 5 -National eHealth/ Digital Health Strategy or Framework
Does the country have an eHealth or digital health strategy or framework and a costed digital health plan?</t>
  </si>
  <si>
    <t>Indicator 5a -National digital strategy alignment with Universal Health Coverage (UHC) Core Components
Is the countryâ€™s national digital health strategy aligned with universal health coverage and/or UHC core components?</t>
  </si>
  <si>
    <t>Indicator 6 -Public funding for digital health
Is public funding (including loans) for digital health sufficient for the digital health strategies, priorities (needs), or costed-plan of the country?</t>
  </si>
  <si>
    <t>Indicator 6a -Private sector participation and investments in digital health
Given the enabling environment, does the private sector participate and invest in digital health activities?</t>
  </si>
  <si>
    <t>Indicator 7 -Legal Framework for Data Protection (Security/ Cybersecurity)
Is there a law on data security (across the full data lifecycle e.g. collection, processing, storage, transmission, use and destruction) that is relevant to digital health?</t>
  </si>
  <si>
    <t>Indicator 8 -Laws or Regulations for privacy, consent, confidentiality and access to health information (Privacy)
Is there a law to protect individual privacy, governing ownership, consent, access and sharing of individually identifiable digital health data ?</t>
  </si>
  <si>
    <t>Indicator 9 -Protocol for regulating or certifying devices and/or health services- including provisions for AI and algorithms (at higher stages of maturity)
Are there protocols, policies, frameworks or accepted processes governing the clinical and patient care use of connected medical devices and health services (e.g. telemedicine, applications), particularly in relation to safety, data integrity and quality of care- including provisions for AI and algorithms (at higher stages of maturity)?</t>
  </si>
  <si>
    <t>Indicator 9a -Protocol for regulating and certifying AI within health services
Are there protocols, policies, frameworks or accepted processes governing the use of AI within health systems, services and applications, particularly in relation to ethics, equity, safety, data integrity and quality of care?</t>
  </si>
  <si>
    <t>Indicator 10 -Cross-border data security and sharing
Are there protocols, policies, frameworks or accepted processes in place to support secure cross-border data exchange and storage in support of public health goals while protecting individual privacy? Note: This includes health-related data coming into a country, going out of a country, and/or being used in a country related to an individual from another country.</t>
  </si>
  <si>
    <t>Indicator 11 -Digital health integrated in health and related professional pre-service training (prior to deployment)
Is digital health part of curriculum for health and health-related support professionals in training, in general?</t>
  </si>
  <si>
    <t>Indicator 12 -Digital health integrated in health and related professional in-service training (after to deployment)
Specifically, is digital health part of curriculum for health and health-related support professionals in the workforce in general? [Defined as community health workers, nurses, doctors, allied health, health managers/administrators, and technologists]</t>
  </si>
  <si>
    <t>Indicator 13 -Training of digital health workforce
In general, is training in digital health / health informatics / health information systems / biomedical informatics degree programs (in either public or private institutions) producing trained digital health workers?</t>
  </si>
  <si>
    <t>Indicator 14 -Maturity of public sector digital health professional careers
Are there public sector professional titles and career paths in digital health?</t>
  </si>
  <si>
    <t>Indicator 15 -National digital health architecture and/or health information exchange
Is there a national digital health (eHealth) architectural framework and/or health information exchange (HIE) established?</t>
  </si>
  <si>
    <t>Indicator 16 -Health information standards
Are there digital health / health information standards for data exchange, transmission, messaging, security, privacy, and hardware?</t>
  </si>
  <si>
    <t>Indicator 17 -Network readiness
How would you rank Kosovo's network technology as compared to Albania's? (ref: https://networkreadinessindex.org/country/albania/)</t>
  </si>
  <si>
    <t>Indicator 18 -Planning and support for ongoing digital health infrastructure maintenance
Is there an articulated plan for supporting the expansion of digital health infrastructure (including equipment- computers/ tablets/ phones, supplies, software, devices, etc.) provision and maintenance to all public healthcare facilities?</t>
  </si>
  <si>
    <t>Indicator 19 -Nationally scaled digital health systems
Public sector priorities are supported by nationally-scaled digital health systems</t>
  </si>
  <si>
    <t>Indicator 20 -Digital identity management of service providers, administrators, and facilities for digital health, including location data for GIS mapping
Are health system registries of uniquely identifiable providers, administrators, and public facilities (and private if applicable) available, accessible and current? Is the data geotagged to enable GIS mapping with protocols in place to protect sensitive datasets?</t>
  </si>
  <si>
    <t>Indicator 21 -Digital identity management of individuals for health
Are secure registries or a master patient index of uniquely identifiable individuals available, fully representative of the population, accessible and current for use for health-related purposes?</t>
  </si>
  <si>
    <t>Indicator 21a -Digital identity management of individuals for health
Specifically, is there a secure master patient index of uniquely identifiable individuals available, accessible and current for use for health-related purposes?</t>
  </si>
  <si>
    <t>Indicator 21b -Digital identity management of individuals for health
Specifically, is there a secure birth registry of uniquely identifiable individuals available, accessible and current for use for health-related purposes?</t>
  </si>
  <si>
    <t>Indicator 21c -Digital identity management of individuals for health
Specifically, is there a secure death registry of uniquely identifiable individuals available, accessible and current for use for health-related purposes?</t>
  </si>
  <si>
    <t>Indicator 22 -Secure Patient Feedback Systems
Specifically, is there a secure Patient feedback system, available, accessible?</t>
  </si>
  <si>
    <t>Indicator 23 -Population health management contribution of digital health
Are current country digital health initiatives contributing to public health reporting and decision making?</t>
  </si>
  <si>
    <t>GDHM Metric</t>
  </si>
  <si>
    <t>Count of Scores</t>
  </si>
  <si>
    <t>AVG</t>
  </si>
  <si>
    <t>Indicator 17 -Network readiness
Lookup your country's Network Readiness score. (ref: https://networkreadinessindex.org/countries/#hero)</t>
  </si>
  <si>
    <t>Enter the number of Google form respondents</t>
  </si>
  <si>
    <t>Leadership &amp; Governance</t>
  </si>
  <si>
    <t>Strategy &amp; Investment</t>
  </si>
  <si>
    <t>Legislation, Policy, &amp; Compliance</t>
  </si>
  <si>
    <t>Workforce</t>
  </si>
  <si>
    <t>Standards &amp; Interoperability</t>
  </si>
  <si>
    <t>Infrastructure</t>
  </si>
  <si>
    <t>Services &amp; Applications</t>
  </si>
  <si>
    <t>Overall Score</t>
  </si>
  <si>
    <t>Enter country score from https://networkreadinessindex.org</t>
  </si>
  <si>
    <t>CHECK</t>
  </si>
  <si>
    <r>
      <rPr>
        <b/>
        <sz val="11"/>
        <color rgb="FF00B0F0"/>
        <rFont val="Aptos Narrow"/>
        <family val="2"/>
        <scheme val="minor"/>
      </rPr>
      <t>All</t>
    </r>
    <r>
      <rPr>
        <sz val="11"/>
        <color rgb="FF00B0F0"/>
        <rFont val="Aptos Narrow"/>
        <family val="2"/>
        <scheme val="minor"/>
      </rPr>
      <t xml:space="preserve"> the CHECK values should be </t>
    </r>
    <r>
      <rPr>
        <b/>
        <sz val="11"/>
        <color rgb="FF00B0F0"/>
        <rFont val="Aptos Narrow"/>
        <family val="2"/>
        <scheme val="minor"/>
      </rPr>
      <t>blue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</si>
</sst>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8"/>
      <color theme="1"/>
      <name val="Aptos Narrow"/>
      <family val="2"/>
      <scheme val="minor"/>
    </font>
    <font>
      <b/>
      <sz val="20"/>
      <color theme="1"/>
      <name val="Aptos Narrow"/>
      <family val="2"/>
      <scheme val="minor"/>
    </font>
    <font>
      <sz val="11"/>
      <color rgb="FF00B050"/>
      <name val="Aptos Narrow"/>
      <family val="2"/>
      <scheme val="minor"/>
    </font>
    <font>
      <b/>
      <sz val="11"/>
      <color rgb="FF00B050"/>
      <name val="Aptos Narrow"/>
      <family val="2"/>
      <scheme val="minor"/>
    </font>
    <font>
      <sz val="11"/>
      <color rgb="FF00B0F0"/>
      <name val="Aptos Narrow"/>
      <family val="2"/>
      <scheme val="minor"/>
    </font>
    <font>
      <b/>
      <sz val="11"/>
      <color rgb="FF00B0F0"/>
      <name val="Aptos Narrow"/>
      <family val="2"/>
      <scheme val="minor"/>
    </font>
    <font>
      <b/>
      <sz val="11"/>
      <color theme="5" tint="-0.249977111117893"/>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5" tint="0.79998168889431442"/>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0" fontId="0" fillId="0" borderId="0" xfId="0" applyAlignment="1">
      <alignment vertical="top" wrapText="1"/>
    </xf>
    <xf numFmtId="0" fontId="18" fillId="0" borderId="0" xfId="0" applyFont="1"/>
    <xf numFmtId="0" fontId="18" fillId="0" borderId="0" xfId="0" applyFont="1" applyAlignment="1">
      <alignment horizontal="right"/>
    </xf>
    <xf numFmtId="0" fontId="21" fillId="33" borderId="10" xfId="0" applyFont="1" applyFill="1" applyBorder="1"/>
    <xf numFmtId="0" fontId="18" fillId="0" borderId="0" xfId="0" applyFont="1" applyAlignment="1">
      <alignment vertical="top" wrapText="1"/>
    </xf>
    <xf numFmtId="0" fontId="20" fillId="33" borderId="10" xfId="0" applyFont="1" applyFill="1" applyBorder="1"/>
    <xf numFmtId="0" fontId="21" fillId="33" borderId="11" xfId="0" applyFont="1" applyFill="1" applyBorder="1"/>
    <xf numFmtId="0" fontId="21" fillId="33" borderId="12" xfId="0" applyFont="1" applyFill="1" applyBorder="1"/>
    <xf numFmtId="0" fontId="21" fillId="0" borderId="0" xfId="0" applyFont="1"/>
    <xf numFmtId="0" fontId="19" fillId="0" borderId="0" xfId="0" applyFont="1" applyAlignment="1">
      <alignment horizontal="center"/>
    </xf>
    <xf numFmtId="0" fontId="16" fillId="0" borderId="0" xfId="0" applyFont="1"/>
    <xf numFmtId="0" fontId="14" fillId="0" borderId="0" xfId="0" applyFont="1"/>
    <xf numFmtId="1" fontId="0" fillId="0" borderId="0" xfId="0" applyNumberFormat="1"/>
    <xf numFmtId="0" fontId="22" fillId="0" borderId="0" xfId="0" applyFont="1"/>
    <xf numFmtId="0" fontId="24" fillId="0" borderId="0" xfId="0" applyFont="1"/>
    <xf numFmtId="1" fontId="16" fillId="34" borderId="10" xfId="0" applyNumberFormat="1" applyFont="1" applyFill="1" applyBorder="1"/>
    <xf numFmtId="0" fontId="0" fillId="0" borderId="0" xfId="0" applyAlignment="1">
      <alignmen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font>
        <color rgb="FF00B0F0"/>
      </font>
      <border>
        <left style="thin">
          <color rgb="FF00B0F0"/>
        </left>
        <right style="thin">
          <color rgb="FF00B0F0"/>
        </right>
        <top style="thin">
          <color rgb="FF00B0F0"/>
        </top>
        <bottom style="thin">
          <color rgb="FF00B0F0"/>
        </bottom>
        <vertical/>
        <horizontal/>
      </border>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B0F0"/>
      </font>
      <border>
        <left style="thin">
          <color rgb="FF00B0F0"/>
        </left>
        <right style="thin">
          <color rgb="FF00B0F0"/>
        </right>
        <top style="thin">
          <color rgb="FF00B0F0"/>
        </top>
        <bottom style="thin">
          <color rgb="FF00B0F0"/>
        </bottom>
        <vertical/>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CD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spPr>
            <a:ln w="28575" cap="rnd">
              <a:solidFill>
                <a:srgbClr val="00B0F0"/>
              </a:solidFill>
              <a:round/>
            </a:ln>
            <a:effectLst/>
          </c:spPr>
          <c:marker>
            <c:symbol val="circle"/>
            <c:size val="5"/>
            <c:spPr>
              <a:solidFill>
                <a:schemeClr val="accent1"/>
              </a:solidFill>
              <a:ln w="9525">
                <a:solidFill>
                  <a:srgbClr val="00B0F0"/>
                </a:solidFill>
              </a:ln>
              <a:effectLst/>
            </c:spPr>
          </c:marker>
          <c:cat>
            <c:strRef>
              <c:f>'GDHM Scores'!$A$2:$A$8</c:f>
              <c:strCache>
                <c:ptCount val="7"/>
                <c:pt idx="0">
                  <c:v>Leadership &amp; Governance</c:v>
                </c:pt>
                <c:pt idx="1">
                  <c:v>Strategy &amp; Investment</c:v>
                </c:pt>
                <c:pt idx="2">
                  <c:v>Legislation, Policy, &amp; Compliance</c:v>
                </c:pt>
                <c:pt idx="3">
                  <c:v>Workforce</c:v>
                </c:pt>
                <c:pt idx="4">
                  <c:v>Standards &amp; Interoperability</c:v>
                </c:pt>
                <c:pt idx="5">
                  <c:v>Infrastructure</c:v>
                </c:pt>
                <c:pt idx="6">
                  <c:v>Services &amp; Applications</c:v>
                </c:pt>
              </c:strCache>
            </c:strRef>
          </c:cat>
          <c:val>
            <c:numRef>
              <c:f>'GDHM Scores'!$B$2:$B$8</c:f>
              <c:numCache>
                <c:formatCode>General</c:formatCode>
                <c:ptCount val="7"/>
                <c:pt idx="0" formatCode="0">
                  <c:v>3</c:v>
                </c:pt>
                <c:pt idx="1">
                  <c:v>3</c:v>
                </c:pt>
                <c:pt idx="2">
                  <c:v>2</c:v>
                </c:pt>
                <c:pt idx="3">
                  <c:v>2</c:v>
                </c:pt>
                <c:pt idx="4">
                  <c:v>2</c:v>
                </c:pt>
                <c:pt idx="5" formatCode="0">
                  <c:v>3</c:v>
                </c:pt>
                <c:pt idx="6" formatCode="0">
                  <c:v>3</c:v>
                </c:pt>
              </c:numCache>
            </c:numRef>
          </c:val>
          <c:extLst>
            <c:ext xmlns:c16="http://schemas.microsoft.com/office/drawing/2014/chart" uri="{C3380CC4-5D6E-409C-BE32-E72D297353CC}">
              <c16:uniqueId val="{00000000-DF85-445B-909B-BA11710F505A}"/>
            </c:ext>
          </c:extLst>
        </c:ser>
        <c:dLbls>
          <c:showLegendKey val="0"/>
          <c:showVal val="0"/>
          <c:showCatName val="0"/>
          <c:showSerName val="0"/>
          <c:showPercent val="0"/>
          <c:showBubbleSize val="0"/>
        </c:dLbls>
        <c:axId val="32338351"/>
        <c:axId val="770594431"/>
      </c:radarChart>
      <c:catAx>
        <c:axId val="32338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770594431"/>
        <c:crosses val="autoZero"/>
        <c:auto val="1"/>
        <c:lblAlgn val="ctr"/>
        <c:lblOffset val="100"/>
        <c:noMultiLvlLbl val="0"/>
      </c:catAx>
      <c:valAx>
        <c:axId val="770594431"/>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solidFill>
              <a:schemeClr val="bg2"/>
            </a:solidFill>
          </a:ln>
          <a:effectLst/>
        </c:spPr>
        <c:txPr>
          <a:bodyPr rot="-60000000" spcFirstLastPara="1" vertOverflow="ellipsis" vert="horz" wrap="square" anchor="ctr" anchorCtr="1"/>
          <a:lstStyle/>
          <a:p>
            <a:pPr>
              <a:defRPr sz="1050" b="1" i="0" u="none" strike="noStrike" kern="1200" baseline="0">
                <a:solidFill>
                  <a:srgbClr val="0070C0"/>
                </a:solidFill>
                <a:latin typeface="+mn-lt"/>
                <a:ea typeface="+mn-ea"/>
                <a:cs typeface="+mn-cs"/>
              </a:defRPr>
            </a:pPr>
            <a:endParaRPr lang="en-US"/>
          </a:p>
        </c:txPr>
        <c:crossAx val="32338351"/>
        <c:crosses val="autoZero"/>
        <c:crossBetween val="between"/>
        <c:majorUnit val="1"/>
        <c:min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581024</xdr:colOff>
      <xdr:row>1</xdr:row>
      <xdr:rowOff>66674</xdr:rowOff>
    </xdr:from>
    <xdr:to>
      <xdr:col>14</xdr:col>
      <xdr:colOff>409575</xdr:colOff>
      <xdr:row>33</xdr:row>
      <xdr:rowOff>66675</xdr:rowOff>
    </xdr:to>
    <xdr:graphicFrame macro="">
      <xdr:nvGraphicFramePr>
        <xdr:cNvPr id="2" name="Chart 1">
          <a:extLst>
            <a:ext uri="{FF2B5EF4-FFF2-40B4-BE49-F238E27FC236}">
              <a16:creationId xmlns:a16="http://schemas.microsoft.com/office/drawing/2014/main" id="{FC753863-A582-6EC8-8ECF-5D0F7AEF9C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B96BF-6256-45D9-9C5E-11E896586D74}">
  <dimension ref="A1:AE1"/>
  <sheetViews>
    <sheetView workbookViewId="0">
      <selection activeCell="B1" sqref="B1"/>
    </sheetView>
  </sheetViews>
  <sheetFormatPr defaultColWidth="30.7109375" defaultRowHeight="15" x14ac:dyDescent="0.25"/>
  <cols>
    <col min="1" max="16384" width="30.7109375" style="17"/>
  </cols>
  <sheetData>
    <row r="1" spans="1:31" ht="25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F9934-B025-44F7-AEB1-D06E650DD349}">
  <dimension ref="A1:I33"/>
  <sheetViews>
    <sheetView tabSelected="1" workbookViewId="0">
      <selection activeCell="H2" sqref="H2"/>
    </sheetView>
  </sheetViews>
  <sheetFormatPr defaultRowHeight="15" x14ac:dyDescent="0.25"/>
  <cols>
    <col min="1" max="1" width="108.7109375" style="1" customWidth="1"/>
    <col min="8" max="8" width="18.5703125" customWidth="1"/>
  </cols>
  <sheetData>
    <row r="1" spans="1:9" ht="26.25" x14ac:dyDescent="0.4">
      <c r="B1" s="10" t="s">
        <v>32</v>
      </c>
      <c r="C1" s="10"/>
      <c r="D1" s="10"/>
      <c r="E1" s="10"/>
      <c r="F1" s="10"/>
      <c r="H1" s="6">
        <v>8</v>
      </c>
      <c r="I1" s="12" t="s">
        <v>35</v>
      </c>
    </row>
    <row r="2" spans="1:9" ht="24" x14ac:dyDescent="0.4">
      <c r="A2" s="5" t="s">
        <v>31</v>
      </c>
      <c r="B2" s="2">
        <v>1</v>
      </c>
      <c r="C2" s="2">
        <v>2</v>
      </c>
      <c r="D2" s="2">
        <v>3</v>
      </c>
      <c r="E2" s="2">
        <v>4</v>
      </c>
      <c r="F2" s="2">
        <v>5</v>
      </c>
      <c r="G2" s="3" t="s">
        <v>33</v>
      </c>
      <c r="H2" s="3" t="s">
        <v>45</v>
      </c>
      <c r="I2" s="14" t="s">
        <v>46</v>
      </c>
    </row>
    <row r="3" spans="1:9" ht="30" x14ac:dyDescent="0.25">
      <c r="A3" s="1" t="str">
        <f>'GDHM Questions'!A1</f>
        <v>Indicator 1 -Digital health prioritized at the national level through dedicated bodies / mechanisms for governance
Does the country have a separate department / agency / national working group for digital health?</v>
      </c>
      <c r="B3" s="4">
        <v>7</v>
      </c>
      <c r="C3" s="4"/>
      <c r="D3" s="4"/>
      <c r="E3" s="4"/>
      <c r="F3" s="4">
        <v>1</v>
      </c>
      <c r="G3">
        <f>IF(SUM(B3:F3)&gt;0,ROUND((B3+C3*2+D3*3+E3*4+F3*5)/(SUM(B3:F3)),0),0)</f>
        <v>2</v>
      </c>
      <c r="H3">
        <f>SUM(B3:F3)</f>
        <v>8</v>
      </c>
    </row>
    <row r="4" spans="1:9" ht="45" x14ac:dyDescent="0.25">
      <c r="A4" s="1" t="str">
        <f>'GDHM Questions'!B1</f>
        <v>Indicator 2 -Digital Health prioritized at the national level through planning
Is digital health included and budgeted for in national health or relevant national strategies and/or plan(s)? Note: The focus of this indicator is on the inclusion of digital health or eHealth in the national health strategy.</v>
      </c>
      <c r="B4" s="4">
        <v>3</v>
      </c>
      <c r="C4" s="4">
        <v>1</v>
      </c>
      <c r="D4" s="4">
        <v>2</v>
      </c>
      <c r="E4" s="4">
        <v>2</v>
      </c>
      <c r="F4" s="4"/>
      <c r="G4">
        <f t="shared" ref="G4:G23" si="0">IF(SUM(B4:F4)&gt;0,ROUND((B4+C4*2+D4*3+E4*4+F4*5)/(SUM(B4:F4)),0),0)</f>
        <v>2</v>
      </c>
      <c r="H4">
        <f t="shared" ref="H4:H23" si="1">SUM(B4:F4)</f>
        <v>8</v>
      </c>
    </row>
    <row r="5" spans="1:9" ht="45" x14ac:dyDescent="0.25">
      <c r="A5" s="1" t="str">
        <f>'GDHM Questions'!C1</f>
        <v>Indicator 2a -Health is prioritized in national digital transformation and data governance policies
Do national digital transformation and data governance policies and approaches consider and address potential benefits and risks for public health and individual health?</v>
      </c>
      <c r="B5" s="4"/>
      <c r="C5" s="4">
        <v>2</v>
      </c>
      <c r="D5" s="4">
        <v>1</v>
      </c>
      <c r="E5" s="4">
        <v>4</v>
      </c>
      <c r="F5" s="4">
        <v>1</v>
      </c>
      <c r="G5">
        <f t="shared" si="0"/>
        <v>4</v>
      </c>
      <c r="H5">
        <f t="shared" si="1"/>
        <v>8</v>
      </c>
    </row>
    <row r="6" spans="1:9" ht="45" x14ac:dyDescent="0.25">
      <c r="A6" s="1" t="str">
        <f>'GDHM Questions'!D1</f>
        <v>Indicator 3 -Readiness for emerging technologies adoption and governance
Is there a national plan specific to emerging technologies (e.g., AI, Wearables, Blockchain, IoT) to support public health goals?</v>
      </c>
      <c r="B6" s="4">
        <v>5</v>
      </c>
      <c r="C6" s="4">
        <v>1</v>
      </c>
      <c r="D6" s="4">
        <v>1</v>
      </c>
      <c r="E6" s="4"/>
      <c r="F6" s="4">
        <v>1</v>
      </c>
      <c r="G6">
        <f t="shared" si="0"/>
        <v>2</v>
      </c>
      <c r="H6">
        <f t="shared" si="1"/>
        <v>8</v>
      </c>
    </row>
    <row r="7" spans="1:9" ht="45" x14ac:dyDescent="0.25">
      <c r="A7" s="1" t="str">
        <f>'GDHM Questions'!E1</f>
        <v>Indicator 4 -Diversity, Equity, and human rights analysis, planning and monitoring included in national digital health strategies and plans
Has the country assessed/adapted national digital health strategies from an equity and human rights perspective?</v>
      </c>
      <c r="B7" s="4">
        <v>2</v>
      </c>
      <c r="C7" s="4"/>
      <c r="D7" s="4"/>
      <c r="E7" s="4">
        <v>3</v>
      </c>
      <c r="F7" s="4">
        <v>3</v>
      </c>
      <c r="G7">
        <f t="shared" si="0"/>
        <v>4</v>
      </c>
      <c r="H7">
        <f t="shared" si="1"/>
        <v>8</v>
      </c>
    </row>
    <row r="8" spans="1:9" ht="30" x14ac:dyDescent="0.25">
      <c r="A8" s="1" t="str">
        <f>'GDHM Questions'!F1</f>
        <v>Indicator 4a -Gender considerations accounted for in digital health strategies and digital health governance
Does the country include gender considerations in the national digital health strategy or its digital health governance?</v>
      </c>
      <c r="B8" s="4">
        <v>2</v>
      </c>
      <c r="C8" s="4">
        <v>1</v>
      </c>
      <c r="D8" s="4">
        <v>1</v>
      </c>
      <c r="E8" s="4">
        <v>4</v>
      </c>
      <c r="F8" s="4"/>
      <c r="G8">
        <f t="shared" si="0"/>
        <v>3</v>
      </c>
      <c r="H8">
        <f t="shared" si="1"/>
        <v>8</v>
      </c>
    </row>
    <row r="9" spans="1:9" ht="30" x14ac:dyDescent="0.25">
      <c r="A9" s="1" t="str">
        <f>'GDHM Questions'!G1</f>
        <v>Indicator 5 -National eHealth/ Digital Health Strategy or Framework
Does the country have an eHealth or digital health strategy or framework and a costed digital health plan?</v>
      </c>
      <c r="B9" s="4">
        <v>1</v>
      </c>
      <c r="C9" s="4"/>
      <c r="D9" s="4">
        <v>3</v>
      </c>
      <c r="E9" s="4">
        <v>2</v>
      </c>
      <c r="F9" s="4">
        <v>2</v>
      </c>
      <c r="G9">
        <f t="shared" si="0"/>
        <v>4</v>
      </c>
      <c r="H9">
        <f t="shared" si="1"/>
        <v>8</v>
      </c>
    </row>
    <row r="10" spans="1:9" ht="30" x14ac:dyDescent="0.25">
      <c r="A10" s="1" t="str">
        <f>'GDHM Questions'!H1</f>
        <v>Indicator 5a -National digital strategy alignment with Universal Health Coverage (UHC) Core Components
Is the countryâ€™s national digital health strategy aligned with universal health coverage and/or UHC core components?</v>
      </c>
      <c r="B10" s="4">
        <v>2</v>
      </c>
      <c r="C10" s="4"/>
      <c r="D10" s="4">
        <v>2</v>
      </c>
      <c r="E10" s="4">
        <v>2</v>
      </c>
      <c r="F10" s="4">
        <v>2</v>
      </c>
      <c r="G10">
        <f t="shared" si="0"/>
        <v>3</v>
      </c>
      <c r="H10">
        <f t="shared" si="1"/>
        <v>8</v>
      </c>
    </row>
    <row r="11" spans="1:9" ht="45" x14ac:dyDescent="0.25">
      <c r="A11" s="1" t="str">
        <f>'GDHM Questions'!I1</f>
        <v>Indicator 6 -Public funding for digital health
Is public funding (including loans) for digital health sufficient for the digital health strategies, priorities (needs), or costed-plan of the country?</v>
      </c>
      <c r="B11" s="4">
        <v>1</v>
      </c>
      <c r="C11" s="4">
        <v>1</v>
      </c>
      <c r="D11" s="4"/>
      <c r="E11" s="4">
        <v>3</v>
      </c>
      <c r="F11" s="4">
        <v>3</v>
      </c>
      <c r="G11">
        <f t="shared" si="0"/>
        <v>4</v>
      </c>
      <c r="H11">
        <f t="shared" si="1"/>
        <v>8</v>
      </c>
    </row>
    <row r="12" spans="1:9" ht="30" x14ac:dyDescent="0.25">
      <c r="A12" s="1" t="str">
        <f>'GDHM Questions'!J1</f>
        <v>Indicator 6a -Private sector participation and investments in digital health
Given the enabling environment, does the private sector participate and invest in digital health activities?</v>
      </c>
      <c r="B12" s="4">
        <v>4</v>
      </c>
      <c r="C12" s="4">
        <v>3</v>
      </c>
      <c r="D12" s="4">
        <v>1</v>
      </c>
      <c r="E12" s="4"/>
      <c r="F12" s="4"/>
      <c r="G12">
        <f t="shared" si="0"/>
        <v>2</v>
      </c>
      <c r="H12">
        <f t="shared" si="1"/>
        <v>8</v>
      </c>
    </row>
    <row r="13" spans="1:9" ht="45" x14ac:dyDescent="0.25">
      <c r="A13" s="1" t="str">
        <f>'GDHM Questions'!K1</f>
        <v>Indicator 7 -Legal Framework for Data Protection (Security/ Cybersecurity)
Is there a law on data security (across the full data lifecycle e.g. collection, processing, storage, transmission, use and destruction) that is relevant to digital health?</v>
      </c>
      <c r="B13" s="4">
        <v>1</v>
      </c>
      <c r="C13" s="4">
        <v>3</v>
      </c>
      <c r="D13" s="4">
        <v>1</v>
      </c>
      <c r="E13" s="4"/>
      <c r="F13" s="4">
        <v>3</v>
      </c>
      <c r="G13">
        <f t="shared" si="0"/>
        <v>3</v>
      </c>
      <c r="H13">
        <f t="shared" si="1"/>
        <v>8</v>
      </c>
    </row>
    <row r="14" spans="1:9" ht="45" x14ac:dyDescent="0.25">
      <c r="A14" s="1" t="str">
        <f>'GDHM Questions'!L1</f>
        <v>Indicator 8 -Laws or Regulations for privacy, consent, confidentiality and access to health information (Privacy)
Is there a law to protect individual privacy, governing ownership, consent, access and sharing of individually identifiable digital health data ?</v>
      </c>
      <c r="B14" s="4"/>
      <c r="C14" s="4">
        <v>5</v>
      </c>
      <c r="D14" s="4"/>
      <c r="E14" s="4">
        <v>2</v>
      </c>
      <c r="F14" s="4">
        <v>1</v>
      </c>
      <c r="G14">
        <f t="shared" si="0"/>
        <v>3</v>
      </c>
      <c r="H14">
        <f t="shared" si="1"/>
        <v>8</v>
      </c>
    </row>
    <row r="15" spans="1:9" ht="75" x14ac:dyDescent="0.25">
      <c r="A15" s="1" t="str">
        <f>'GDHM Questions'!M1</f>
        <v>Indicator 9 -Protocol for regulating or certifying devices and/or health services- including provisions for AI and algorithms (at higher stages of maturity)
Are there protocols, policies, frameworks or accepted processes governing the clinical and patient care use of connected medical devices and health services (e.g. telemedicine, applications), particularly in relation to safety, data integrity and quality of care- including provisions for AI and algorithms (at higher stages of maturity)?</v>
      </c>
      <c r="B15" s="4">
        <v>3</v>
      </c>
      <c r="C15" s="4">
        <v>1</v>
      </c>
      <c r="D15" s="4">
        <v>3</v>
      </c>
      <c r="E15" s="4"/>
      <c r="F15" s="4">
        <v>1</v>
      </c>
      <c r="G15">
        <f t="shared" si="0"/>
        <v>2</v>
      </c>
      <c r="H15">
        <f t="shared" si="1"/>
        <v>8</v>
      </c>
    </row>
    <row r="16" spans="1:9" ht="45" x14ac:dyDescent="0.25">
      <c r="A16" s="1" t="str">
        <f>'GDHM Questions'!N1</f>
        <v>Indicator 9a -Protocol for regulating and certifying AI within health services
Are there protocols, policies, frameworks or accepted processes governing the use of AI within health systems, services and applications, particularly in relation to ethics, equity, safety, data integrity and quality of care?</v>
      </c>
      <c r="B16" s="4">
        <v>6</v>
      </c>
      <c r="C16" s="4">
        <v>1</v>
      </c>
      <c r="D16" s="4"/>
      <c r="E16" s="4">
        <v>1</v>
      </c>
      <c r="F16" s="4"/>
      <c r="G16">
        <f t="shared" si="0"/>
        <v>2</v>
      </c>
      <c r="H16">
        <f t="shared" si="1"/>
        <v>8</v>
      </c>
    </row>
    <row r="17" spans="1:8" ht="75" x14ac:dyDescent="0.25">
      <c r="A17" s="1" t="str">
        <f>'GDHM Questions'!O1</f>
        <v>Indicator 10 -Cross-border data security and sharing
Are there protocols, policies, frameworks or accepted processes in place to support secure cross-border data exchange and storage in support of public health goals while protecting individual privacy? Note: This includes health-related data coming into a country, going out of a country, and/or being used in a country related to an individual from another country.</v>
      </c>
      <c r="B17" s="4">
        <v>3</v>
      </c>
      <c r="C17" s="4">
        <v>2</v>
      </c>
      <c r="D17" s="4">
        <v>2</v>
      </c>
      <c r="E17" s="4"/>
      <c r="F17" s="4">
        <v>1</v>
      </c>
      <c r="G17">
        <f t="shared" si="0"/>
        <v>2</v>
      </c>
      <c r="H17">
        <f t="shared" si="1"/>
        <v>8</v>
      </c>
    </row>
    <row r="18" spans="1:8" ht="30" x14ac:dyDescent="0.25">
      <c r="A18" s="1" t="str">
        <f>'GDHM Questions'!P1</f>
        <v>Indicator 11 -Digital health integrated in health and related professional pre-service training (prior to deployment)
Is digital health part of curriculum for health and health-related support professionals in training, in general?</v>
      </c>
      <c r="B18" s="4">
        <v>6</v>
      </c>
      <c r="C18" s="4">
        <v>1</v>
      </c>
      <c r="D18" s="4"/>
      <c r="E18" s="4">
        <v>1</v>
      </c>
      <c r="F18" s="4"/>
      <c r="G18">
        <f t="shared" si="0"/>
        <v>2</v>
      </c>
      <c r="H18">
        <f t="shared" si="1"/>
        <v>8</v>
      </c>
    </row>
    <row r="19" spans="1:8" ht="60" x14ac:dyDescent="0.25">
      <c r="A19" s="1" t="str">
        <f>'GDHM Questions'!Q1</f>
        <v>Indicator 12 -Digital health integrated in health and related professional in-service training (after to deployment)
Specifically, is digital health part of curriculum for health and health-related support professionals in the workforce in general? [Defined as community health workers, nurses, doctors, allied health, health managers/administrators, and technologists]</v>
      </c>
      <c r="B19" s="4">
        <v>4</v>
      </c>
      <c r="C19" s="4">
        <v>2</v>
      </c>
      <c r="D19" s="4">
        <v>1</v>
      </c>
      <c r="E19" s="4">
        <v>1</v>
      </c>
      <c r="F19" s="4"/>
      <c r="G19">
        <f t="shared" si="0"/>
        <v>2</v>
      </c>
      <c r="H19">
        <f t="shared" si="1"/>
        <v>8</v>
      </c>
    </row>
    <row r="20" spans="1:8" ht="45" x14ac:dyDescent="0.25">
      <c r="A20" s="1" t="str">
        <f>'GDHM Questions'!R1</f>
        <v>Indicator 13 -Training of digital health workforce
In general, is training in digital health / health informatics / health information systems / biomedical informatics degree programs (in either public or private institutions) producing trained digital health workers?</v>
      </c>
      <c r="B20" s="4">
        <v>4</v>
      </c>
      <c r="C20" s="4">
        <v>4</v>
      </c>
      <c r="D20" s="4"/>
      <c r="E20" s="4"/>
      <c r="F20" s="4"/>
      <c r="G20">
        <f t="shared" si="0"/>
        <v>2</v>
      </c>
      <c r="H20">
        <f t="shared" si="1"/>
        <v>8</v>
      </c>
    </row>
    <row r="21" spans="1:8" ht="30" x14ac:dyDescent="0.25">
      <c r="A21" s="1" t="str">
        <f>'GDHM Questions'!S1</f>
        <v>Indicator 14 -Maturity of public sector digital health professional careers
Are there public sector professional titles and career paths in digital health?</v>
      </c>
      <c r="B21" s="4">
        <v>5</v>
      </c>
      <c r="C21" s="4">
        <v>2</v>
      </c>
      <c r="D21" s="4"/>
      <c r="E21" s="4">
        <v>1</v>
      </c>
      <c r="F21" s="4"/>
      <c r="G21">
        <f t="shared" si="0"/>
        <v>2</v>
      </c>
      <c r="H21">
        <f t="shared" si="1"/>
        <v>8</v>
      </c>
    </row>
    <row r="22" spans="1:8" ht="45" x14ac:dyDescent="0.25">
      <c r="A22" s="1" t="str">
        <f>'GDHM Questions'!T1</f>
        <v>Indicator 15 -National digital health architecture and/or health information exchange
Is there a national digital health (eHealth) architectural framework and/or health information exchange (HIE) established?</v>
      </c>
      <c r="B22" s="4">
        <v>4</v>
      </c>
      <c r="C22" s="4">
        <v>2</v>
      </c>
      <c r="D22" s="4">
        <v>2</v>
      </c>
      <c r="E22" s="4"/>
      <c r="F22" s="4"/>
      <c r="G22">
        <f t="shared" si="0"/>
        <v>2</v>
      </c>
      <c r="H22">
        <f t="shared" si="1"/>
        <v>8</v>
      </c>
    </row>
    <row r="23" spans="1:8" ht="45" x14ac:dyDescent="0.25">
      <c r="A23" s="1" t="str">
        <f>'GDHM Questions'!U1</f>
        <v>Indicator 16 -Health information standards
Are there digital health / health information standards for data exchange, transmission, messaging, security, privacy, and hardware?</v>
      </c>
      <c r="B23" s="7">
        <v>3</v>
      </c>
      <c r="C23" s="7">
        <v>3</v>
      </c>
      <c r="D23" s="7">
        <v>1</v>
      </c>
      <c r="E23" s="7">
        <v>1</v>
      </c>
      <c r="F23" s="7"/>
      <c r="G23">
        <f t="shared" si="0"/>
        <v>2</v>
      </c>
      <c r="H23">
        <f t="shared" si="1"/>
        <v>8</v>
      </c>
    </row>
    <row r="24" spans="1:8" ht="30" x14ac:dyDescent="0.25">
      <c r="A24" s="1" t="s">
        <v>34</v>
      </c>
      <c r="B24" s="9"/>
      <c r="C24" s="9"/>
      <c r="D24" s="9"/>
      <c r="E24" s="9"/>
      <c r="F24" s="9"/>
      <c r="G24" s="6">
        <v>45</v>
      </c>
      <c r="H24" s="12" t="s">
        <v>44</v>
      </c>
    </row>
    <row r="25" spans="1:8" ht="60" x14ac:dyDescent="0.25">
      <c r="A25" s="1" t="str">
        <f>'GDHM Questions'!W1</f>
        <v>Indicator 18 -Planning and support for ongoing digital health infrastructure maintenance
Is there an articulated plan for supporting the expansion of digital health infrastructure (including equipment- computers/ tablets/ phones, supplies, software, devices, etc.) provision and maintenance to all public healthcare facilities?</v>
      </c>
      <c r="B25" s="8">
        <v>1</v>
      </c>
      <c r="C25" s="8">
        <v>2</v>
      </c>
      <c r="D25" s="8">
        <v>1</v>
      </c>
      <c r="E25" s="8">
        <v>2</v>
      </c>
      <c r="F25" s="8">
        <v>2</v>
      </c>
      <c r="G25">
        <f t="shared" ref="G25:G33" si="2">IF(SUM(B25:F25)&gt;0,ROUND((B25+C25*2+D25*3+E25*4+F25*5)/(SUM(B25:F25)),0),0)</f>
        <v>3</v>
      </c>
      <c r="H25">
        <f t="shared" ref="H25:H33" si="3">SUM(B25:F25)</f>
        <v>8</v>
      </c>
    </row>
    <row r="26" spans="1:8" ht="30" x14ac:dyDescent="0.25">
      <c r="A26" s="1" t="str">
        <f>'GDHM Questions'!X1</f>
        <v>Indicator 19 -Nationally scaled digital health systems
Public sector priorities are supported by nationally-scaled digital health systems</v>
      </c>
      <c r="B26" s="4">
        <v>1</v>
      </c>
      <c r="C26" s="4">
        <v>2</v>
      </c>
      <c r="D26" s="4">
        <v>2</v>
      </c>
      <c r="E26" s="4">
        <v>2</v>
      </c>
      <c r="F26" s="4">
        <v>1</v>
      </c>
      <c r="G26">
        <f t="shared" si="2"/>
        <v>3</v>
      </c>
      <c r="H26">
        <f t="shared" si="3"/>
        <v>8</v>
      </c>
    </row>
    <row r="27" spans="1:8" ht="75" x14ac:dyDescent="0.25">
      <c r="A27" s="1" t="str">
        <f>'GDHM Questions'!Y1</f>
        <v>Indicator 20 -Digital identity management of service providers, administrators, and facilities for digital health, including location data for GIS mapping
Are health system registries of uniquely identifiable providers, administrators, and public facilities (and private if applicable) available, accessible and current? Is the data geotagged to enable GIS mapping with protocols in place to protect sensitive datasets?</v>
      </c>
      <c r="B27" s="4">
        <v>1</v>
      </c>
      <c r="C27" s="4">
        <v>3</v>
      </c>
      <c r="D27" s="4">
        <v>4</v>
      </c>
      <c r="E27" s="4"/>
      <c r="F27" s="4"/>
      <c r="G27">
        <f t="shared" si="2"/>
        <v>2</v>
      </c>
      <c r="H27">
        <f t="shared" si="3"/>
        <v>8</v>
      </c>
    </row>
    <row r="28" spans="1:8" ht="45" x14ac:dyDescent="0.25">
      <c r="A28" s="1" t="str">
        <f>'GDHM Questions'!Z1</f>
        <v>Indicator 21 -Digital identity management of individuals for health
Are secure registries or a master patient index of uniquely identifiable individuals available, fully representative of the population, accessible and current for use for health-related purposes?</v>
      </c>
      <c r="B28" s="4">
        <v>3</v>
      </c>
      <c r="C28" s="4">
        <v>2</v>
      </c>
      <c r="D28" s="4">
        <v>1</v>
      </c>
      <c r="E28" s="4">
        <v>2</v>
      </c>
      <c r="F28" s="4"/>
      <c r="G28">
        <f t="shared" si="2"/>
        <v>2</v>
      </c>
      <c r="H28">
        <f t="shared" si="3"/>
        <v>8</v>
      </c>
    </row>
    <row r="29" spans="1:8" ht="45" x14ac:dyDescent="0.25">
      <c r="A29" s="1" t="str">
        <f>'GDHM Questions'!AA1</f>
        <v>Indicator 21a -Digital identity management of individuals for health
Specifically, is there a secure master patient index of uniquely identifiable individuals available, accessible and current for use for health-related purposes?</v>
      </c>
      <c r="B29" s="4">
        <v>4</v>
      </c>
      <c r="C29" s="4">
        <v>1</v>
      </c>
      <c r="D29" s="4">
        <v>1</v>
      </c>
      <c r="E29" s="4">
        <v>1</v>
      </c>
      <c r="F29" s="4">
        <v>1</v>
      </c>
      <c r="G29">
        <f t="shared" si="2"/>
        <v>2</v>
      </c>
      <c r="H29">
        <f t="shared" si="3"/>
        <v>8</v>
      </c>
    </row>
    <row r="30" spans="1:8" ht="45" x14ac:dyDescent="0.25">
      <c r="A30" s="1" t="str">
        <f>'GDHM Questions'!AB1</f>
        <v>Indicator 21b -Digital identity management of individuals for health
Specifically, is there a secure birth registry of uniquely identifiable individuals available, accessible and current for use for health-related purposes?</v>
      </c>
      <c r="B30" s="4">
        <v>2</v>
      </c>
      <c r="C30" s="4">
        <v>1</v>
      </c>
      <c r="D30" s="4"/>
      <c r="E30" s="4">
        <v>1</v>
      </c>
      <c r="F30" s="4">
        <v>4</v>
      </c>
      <c r="G30">
        <f t="shared" si="2"/>
        <v>4</v>
      </c>
      <c r="H30">
        <f t="shared" si="3"/>
        <v>8</v>
      </c>
    </row>
    <row r="31" spans="1:8" ht="45" x14ac:dyDescent="0.25">
      <c r="A31" s="1" t="str">
        <f>'GDHM Questions'!AC1</f>
        <v>Indicator 21c -Digital identity management of individuals for health
Specifically, is there a secure death registry of uniquely identifiable individuals available, accessible and current for use for health-related purposes?</v>
      </c>
      <c r="B31" s="4">
        <v>1</v>
      </c>
      <c r="C31" s="4">
        <v>2</v>
      </c>
      <c r="D31" s="4">
        <v>1</v>
      </c>
      <c r="E31" s="4">
        <v>1</v>
      </c>
      <c r="F31" s="4">
        <v>3</v>
      </c>
      <c r="G31">
        <f t="shared" si="2"/>
        <v>3</v>
      </c>
      <c r="H31">
        <f t="shared" si="3"/>
        <v>8</v>
      </c>
    </row>
    <row r="32" spans="1:8" ht="30" x14ac:dyDescent="0.25">
      <c r="A32" s="1" t="str">
        <f>'GDHM Questions'!AD1</f>
        <v>Indicator 22 -Secure Patient Feedback Systems
Specifically, is there a secure Patient feedback system, available, accessible?</v>
      </c>
      <c r="B32" s="4">
        <v>4</v>
      </c>
      <c r="C32" s="4">
        <v>3</v>
      </c>
      <c r="D32" s="4">
        <v>1</v>
      </c>
      <c r="E32" s="4"/>
      <c r="F32" s="4"/>
      <c r="G32">
        <f t="shared" si="2"/>
        <v>2</v>
      </c>
      <c r="H32">
        <f t="shared" si="3"/>
        <v>8</v>
      </c>
    </row>
    <row r="33" spans="1:8" ht="30" x14ac:dyDescent="0.25">
      <c r="A33" s="1" t="str">
        <f>'GDHM Questions'!AE1</f>
        <v>Indicator 23 -Population health management contribution of digital health
Are current country digital health initiatives contributing to public health reporting and decision making?</v>
      </c>
      <c r="B33" s="4"/>
      <c r="C33" s="4">
        <v>4</v>
      </c>
      <c r="D33" s="4">
        <v>2</v>
      </c>
      <c r="E33" s="4">
        <v>2</v>
      </c>
      <c r="F33" s="4"/>
      <c r="G33">
        <f t="shared" si="2"/>
        <v>3</v>
      </c>
      <c r="H33">
        <f t="shared" si="3"/>
        <v>8</v>
      </c>
    </row>
  </sheetData>
  <mergeCells count="1">
    <mergeCell ref="B1:F1"/>
  </mergeCells>
  <conditionalFormatting sqref="G3">
    <cfRule type="cellIs" dxfId="10" priority="9" operator="equal">
      <formula>0</formula>
    </cfRule>
  </conditionalFormatting>
  <conditionalFormatting sqref="G3:G23">
    <cfRule type="cellIs" dxfId="9" priority="8" operator="equal">
      <formula>0</formula>
    </cfRule>
  </conditionalFormatting>
  <conditionalFormatting sqref="G25:G33">
    <cfRule type="cellIs" dxfId="8" priority="7" operator="equal">
      <formula>0</formula>
    </cfRule>
  </conditionalFormatting>
  <conditionalFormatting sqref="H3:H33">
    <cfRule type="cellIs" dxfId="0" priority="3" operator="equal">
      <formula>$H$1</formula>
    </cfRule>
    <cfRule type="cellIs" dxfId="1" priority="2" operator="lessThan">
      <formula>$H$1</formula>
    </cfRule>
    <cfRule type="cellIs" dxfId="2" priority="1" operator="greaterThan">
      <formula>$H$1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C07C7-6F98-4A59-B4D5-E3FCA724CB11}">
  <dimension ref="A2:C9"/>
  <sheetViews>
    <sheetView workbookViewId="0"/>
  </sheetViews>
  <sheetFormatPr defaultRowHeight="15" x14ac:dyDescent="0.25"/>
  <cols>
    <col min="1" max="1" width="32" customWidth="1"/>
  </cols>
  <sheetData>
    <row r="2" spans="1:3" x14ac:dyDescent="0.25">
      <c r="A2" s="11" t="s">
        <v>36</v>
      </c>
      <c r="B2" s="13">
        <f>ROUND(IF(AVERAGE('Raw Data'!G3:G8)&lt;1,1,AVERAGE('Raw Data'!G3:G8)),0)</f>
        <v>3</v>
      </c>
    </row>
    <row r="3" spans="1:3" x14ac:dyDescent="0.25">
      <c r="A3" s="11" t="s">
        <v>37</v>
      </c>
      <c r="B3">
        <f>ROUND(IF(AVERAGE('Raw Data'!G9:G12)&lt;1,1,AVERAGE('Raw Data'!G9:G12)),0)</f>
        <v>3</v>
      </c>
    </row>
    <row r="4" spans="1:3" x14ac:dyDescent="0.25">
      <c r="A4" s="11" t="s">
        <v>38</v>
      </c>
      <c r="B4">
        <f>ROUND(IF(AVERAGE('Raw Data'!G13:G17)&lt;1,1,AVERAGE('Raw Data'!G13:G17)),0)</f>
        <v>2</v>
      </c>
    </row>
    <row r="5" spans="1:3" x14ac:dyDescent="0.25">
      <c r="A5" s="11" t="s">
        <v>39</v>
      </c>
      <c r="B5">
        <f>ROUND(IF(AVERAGE('Raw Data'!G18:G21)&lt;1,1,AVERAGE('Raw Data'!G18:G21)),0)</f>
        <v>2</v>
      </c>
    </row>
    <row r="6" spans="1:3" x14ac:dyDescent="0.25">
      <c r="A6" s="11" t="s">
        <v>40</v>
      </c>
      <c r="B6">
        <f>ROUND(IF(AVERAGE('Raw Data'!G22:G23)&lt;1,1,AVERAGE('Raw Data'!G22:G23)),0)</f>
        <v>2</v>
      </c>
    </row>
    <row r="7" spans="1:3" x14ac:dyDescent="0.25">
      <c r="A7" s="11" t="s">
        <v>41</v>
      </c>
      <c r="B7" s="13">
        <f>ROUND((IF('Raw Data'!G24=0,1,0) + IF('Raw Data'!G24&gt;75,5,0) + IF(AND(0&lt;'Raw Data'!G24,'Raw Data'!G24&lt;26),2,0) + IF(AND(25&lt;'Raw Data'!G24,'Raw Data'!G24&lt;51),3,0) + IF(AND(50&lt;'Raw Data'!G24,'Raw Data'!G24&lt;76),4,0) + 'Raw Data'!G25)/2,0)</f>
        <v>3</v>
      </c>
    </row>
    <row r="8" spans="1:3" x14ac:dyDescent="0.25">
      <c r="A8" s="11" t="s">
        <v>42</v>
      </c>
      <c r="B8" s="13">
        <f>ROUND(IF(AVERAGE('Raw Data'!G26:G33)&lt;1,1,AVERAGE('Raw Data'!G26:G33)),0)</f>
        <v>3</v>
      </c>
    </row>
    <row r="9" spans="1:3" x14ac:dyDescent="0.25">
      <c r="B9" s="16">
        <f>AVERAGE(B2:B8)</f>
        <v>2.5714285714285716</v>
      </c>
      <c r="C9" s="15" t="s">
        <v>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EB0BA-AB53-4ECE-A0B7-2AF534F76B30}">
  <dimension ref="A1"/>
  <sheetViews>
    <sheetView workbookViewId="0">
      <selection activeCell="T17" sqref="T17"/>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GDHM Questions</vt:lpstr>
      <vt:lpstr>Raw Data</vt:lpstr>
      <vt:lpstr>GDHM Scores</vt:lpstr>
      <vt:lpstr>Spider Graph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Derek Ritz</dc:creator>
  <cp:lastModifiedBy>Derek Ritz</cp:lastModifiedBy>
  <dcterms:created xsi:type="dcterms:W3CDTF">2024-07-04T13:58:59Z</dcterms:created>
  <dcterms:modified xsi:type="dcterms:W3CDTF">2024-07-15T16:25:54Z</dcterms:modified>
</cp:coreProperties>
</file>